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stantin/Documents/Codex/Codex Проекты/Калькулятор PIM.Seller/"/>
    </mc:Choice>
  </mc:AlternateContent>
  <xr:revisionPtr revIDLastSave="0" documentId="8_{727C0A6D-108D-4545-A2F4-FAA1C8E2CC96}" xr6:coauthVersionLast="47" xr6:coauthVersionMax="47" xr10:uidLastSave="{00000000-0000-0000-0000-000000000000}"/>
  <bookViews>
    <workbookView xWindow="4420" yWindow="580" windowWidth="23200" windowHeight="16000" activeTab="1" xr2:uid="{1A2F2E55-96B8-4B23-9280-15896E7518D9}"/>
  </bookViews>
  <sheets>
    <sheet name="расчет PIM.Seller" sheetId="2" r:id="rId1"/>
    <sheet name="расчет PIM.Seller (2)" sheetId="4" r:id="rId2"/>
    <sheet name="Лист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4" l="1"/>
  <c r="AD47" i="4"/>
  <c r="R47" i="4"/>
  <c r="O47" i="4"/>
  <c r="P47" i="4" s="1"/>
  <c r="Q47" i="4" s="1"/>
  <c r="J47" i="4"/>
  <c r="AD46" i="4"/>
  <c r="R46" i="4"/>
  <c r="O46" i="4"/>
  <c r="P46" i="4" s="1"/>
  <c r="Q46" i="4" s="1"/>
  <c r="J46" i="4"/>
  <c r="AD45" i="4"/>
  <c r="R45" i="4"/>
  <c r="O45" i="4"/>
  <c r="P45" i="4" s="1"/>
  <c r="Q45" i="4" s="1"/>
  <c r="J45" i="4"/>
  <c r="AD34" i="4"/>
  <c r="R34" i="4"/>
  <c r="O34" i="4"/>
  <c r="P34" i="4" s="1"/>
  <c r="Q34" i="4" s="1"/>
  <c r="J34" i="4"/>
  <c r="R33" i="4"/>
  <c r="O33" i="4"/>
  <c r="P33" i="4" s="1"/>
  <c r="Q33" i="4" s="1"/>
  <c r="J33" i="4"/>
  <c r="R32" i="4"/>
  <c r="O32" i="4"/>
  <c r="P32" i="4" s="1"/>
  <c r="Q32" i="4" s="1"/>
  <c r="J32" i="4"/>
  <c r="O11" i="4"/>
  <c r="J11" i="4"/>
  <c r="AD33" i="4" l="1"/>
  <c r="AD32" i="4"/>
  <c r="W12" i="4"/>
  <c r="W13" i="4"/>
  <c r="W11" i="4"/>
  <c r="R12" i="4"/>
  <c r="R13" i="4"/>
  <c r="R11" i="4"/>
  <c r="J12" i="4"/>
  <c r="J13" i="4"/>
  <c r="U22" i="4"/>
  <c r="U23" i="4"/>
  <c r="U21" i="4"/>
  <c r="O23" i="4" l="1"/>
  <c r="Z23" i="4" s="1"/>
  <c r="O22" i="4"/>
  <c r="Z22" i="4" s="1"/>
  <c r="Z21" i="4"/>
  <c r="J23" i="4"/>
  <c r="J22" i="4"/>
  <c r="J21" i="4"/>
  <c r="M22" i="4"/>
  <c r="M23" i="4"/>
  <c r="M21" i="4"/>
  <c r="O13" i="4"/>
  <c r="P13" i="4" s="1"/>
  <c r="Q13" i="4" s="1"/>
  <c r="O12" i="4"/>
  <c r="P12" i="4" s="1"/>
  <c r="Q12" i="4" s="1"/>
  <c r="P11" i="4"/>
  <c r="Q11" i="4" s="1"/>
  <c r="P5" i="4"/>
  <c r="Q5" i="4" s="1"/>
  <c r="N5" i="4"/>
  <c r="U5" i="4" s="1"/>
  <c r="K5" i="4"/>
  <c r="J5" i="4"/>
  <c r="I5" i="4"/>
  <c r="Y5" i="4" s="1"/>
  <c r="Y4" i="4"/>
  <c r="P4" i="4"/>
  <c r="Q4" i="4" s="1"/>
  <c r="N4" i="4"/>
  <c r="U4" i="4" s="1"/>
  <c r="J4" i="4"/>
  <c r="I4" i="4"/>
  <c r="P3" i="4"/>
  <c r="Q3" i="4" s="1"/>
  <c r="N3" i="4"/>
  <c r="U3" i="4" s="1"/>
  <c r="K3" i="4"/>
  <c r="J3" i="4"/>
  <c r="T11" i="4" s="1"/>
  <c r="I3" i="4"/>
  <c r="Y3" i="4" s="1"/>
  <c r="O22" i="2"/>
  <c r="O18" i="2"/>
  <c r="M23" i="2"/>
  <c r="N23" i="2" s="1"/>
  <c r="O23" i="2" s="1"/>
  <c r="M22" i="2"/>
  <c r="N22" i="2" s="1"/>
  <c r="N21" i="2"/>
  <c r="O21" i="2" s="1"/>
  <c r="M21" i="2"/>
  <c r="M20" i="2"/>
  <c r="N20" i="2" s="1"/>
  <c r="O20" i="2" s="1"/>
  <c r="M19" i="2"/>
  <c r="N19" i="2" s="1"/>
  <c r="O19" i="2" s="1"/>
  <c r="M18" i="2"/>
  <c r="N18" i="2" s="1"/>
  <c r="M17" i="2"/>
  <c r="N17" i="2" s="1"/>
  <c r="O17" i="2" s="1"/>
  <c r="M16" i="2"/>
  <c r="N16" i="2" s="1"/>
  <c r="O16" i="2" s="1"/>
  <c r="M15" i="2"/>
  <c r="N15" i="2" s="1"/>
  <c r="O15" i="2" s="1"/>
  <c r="M14" i="2"/>
  <c r="N14" i="2" s="1"/>
  <c r="O14" i="2" s="1"/>
  <c r="M10" i="2"/>
  <c r="N10" i="2" s="1"/>
  <c r="O10" i="2" s="1"/>
  <c r="M11" i="2"/>
  <c r="N11" i="2" s="1"/>
  <c r="O11" i="2" s="1"/>
  <c r="M12" i="2"/>
  <c r="N12" i="2" s="1"/>
  <c r="O12" i="2" s="1"/>
  <c r="M13" i="2"/>
  <c r="N13" i="2" s="1"/>
  <c r="O13" i="2" s="1"/>
  <c r="M9" i="2"/>
  <c r="N9" i="2" s="1"/>
  <c r="O9" i="2" s="1"/>
  <c r="F37" i="2"/>
  <c r="I5" i="2"/>
  <c r="I3" i="2"/>
  <c r="X23" i="4" l="1"/>
  <c r="T12" i="4"/>
  <c r="L12" i="4"/>
  <c r="L46" i="4"/>
  <c r="Z46" i="4" s="1"/>
  <c r="T33" i="4"/>
  <c r="AB33" i="4" s="1"/>
  <c r="L33" i="4"/>
  <c r="Z33" i="4" s="1"/>
  <c r="T46" i="4"/>
  <c r="AB46" i="4" s="1"/>
  <c r="T47" i="4"/>
  <c r="AB47" i="4" s="1"/>
  <c r="T34" i="4"/>
  <c r="AB34" i="4" s="1"/>
  <c r="L47" i="4"/>
  <c r="Z47" i="4" s="1"/>
  <c r="AE47" i="4" s="1"/>
  <c r="L34" i="4"/>
  <c r="Z34" i="4" s="1"/>
  <c r="AE34" i="4" s="1"/>
  <c r="L13" i="4"/>
  <c r="Z13" i="4" s="1"/>
  <c r="T13" i="4"/>
  <c r="T45" i="4"/>
  <c r="AB45" i="4" s="1"/>
  <c r="T32" i="4"/>
  <c r="AB32" i="4" s="1"/>
  <c r="L11" i="4"/>
  <c r="L45" i="4"/>
  <c r="Z45" i="4" s="1"/>
  <c r="AE45" i="4" s="1"/>
  <c r="L32" i="4"/>
  <c r="Z32" i="4" s="1"/>
  <c r="AE32" i="4" s="1"/>
  <c r="X22" i="4"/>
  <c r="W21" i="4"/>
  <c r="Y11" i="4"/>
  <c r="W23" i="4"/>
  <c r="Y13" i="4"/>
  <c r="W22" i="4"/>
  <c r="Y12" i="4"/>
  <c r="Z12" i="4"/>
  <c r="Z11" i="4"/>
  <c r="W3" i="4"/>
  <c r="X3" i="4" s="1"/>
  <c r="AA23" i="4"/>
  <c r="AA22" i="4"/>
  <c r="X21" i="4"/>
  <c r="AA21" i="4" s="1"/>
  <c r="V4" i="4"/>
  <c r="U12" i="4" s="1"/>
  <c r="X12" i="4" s="1"/>
  <c r="V3" i="4"/>
  <c r="U11" i="4" s="1"/>
  <c r="X11" i="4" s="1"/>
  <c r="W5" i="4"/>
  <c r="V13" i="4" s="1"/>
  <c r="V5" i="4"/>
  <c r="U13" i="4" s="1"/>
  <c r="X13" i="4" s="1"/>
  <c r="W4" i="4"/>
  <c r="V12" i="4" s="1"/>
  <c r="U42" i="2"/>
  <c r="U43" i="2"/>
  <c r="U44" i="2"/>
  <c r="U45" i="2"/>
  <c r="U46" i="2"/>
  <c r="U47" i="2"/>
  <c r="U48" i="2"/>
  <c r="U49" i="2"/>
  <c r="U50" i="2"/>
  <c r="U41" i="2"/>
  <c r="AC45" i="4" l="1"/>
  <c r="AC32" i="4"/>
  <c r="AB13" i="4"/>
  <c r="AC34" i="4"/>
  <c r="AC47" i="4"/>
  <c r="AD13" i="4"/>
  <c r="AC46" i="4"/>
  <c r="AE46" i="4"/>
  <c r="AD11" i="4"/>
  <c r="AE11" i="4" s="1"/>
  <c r="AD12" i="4"/>
  <c r="AE12" i="4" s="1"/>
  <c r="AB12" i="4"/>
  <c r="AC33" i="4"/>
  <c r="AE33" i="4"/>
  <c r="AC12" i="4"/>
  <c r="AC13" i="4"/>
  <c r="AE13" i="4"/>
  <c r="T21" i="4"/>
  <c r="V11" i="4"/>
  <c r="AB11" i="4" s="1"/>
  <c r="AC11" i="4" s="1"/>
  <c r="Z5" i="4"/>
  <c r="S23" i="4"/>
  <c r="V23" i="4" s="1"/>
  <c r="AB23" i="4" s="1"/>
  <c r="AC23" i="4" s="1"/>
  <c r="X5" i="4"/>
  <c r="T23" i="4"/>
  <c r="X4" i="4"/>
  <c r="T22" i="4"/>
  <c r="Z3" i="4"/>
  <c r="S21" i="4"/>
  <c r="V21" i="4" s="1"/>
  <c r="AB21" i="4" s="1"/>
  <c r="AC21" i="4" s="1"/>
  <c r="Z4" i="4"/>
  <c r="S22" i="4"/>
  <c r="V22" i="4" s="1"/>
  <c r="AB22" i="4" s="1"/>
  <c r="AC22" i="4" s="1"/>
  <c r="L3" i="2"/>
  <c r="S3" i="2" s="1"/>
  <c r="W4" i="2" l="1"/>
  <c r="W5" i="2"/>
  <c r="N4" i="2"/>
  <c r="O4" i="2" s="1"/>
  <c r="N5" i="2"/>
  <c r="O5" i="2" s="1"/>
  <c r="L4" i="2"/>
  <c r="L5" i="2"/>
  <c r="H4" i="2"/>
  <c r="H5" i="2"/>
  <c r="W3" i="2"/>
  <c r="G4" i="2"/>
  <c r="G5" i="2"/>
  <c r="G3" i="2"/>
  <c r="H3" i="2"/>
  <c r="N3" i="2"/>
  <c r="O3" i="2" s="1"/>
  <c r="U4" i="2" l="1"/>
  <c r="V4" i="2" s="1"/>
  <c r="T17" i="2"/>
  <c r="T16" i="2"/>
  <c r="U15" i="2"/>
  <c r="U14" i="2"/>
  <c r="T14" i="2"/>
  <c r="U17" i="2"/>
  <c r="U16" i="2"/>
  <c r="T15" i="2"/>
  <c r="U18" i="2"/>
  <c r="T18" i="2"/>
  <c r="U5" i="2"/>
  <c r="V5" i="2" s="1"/>
  <c r="T22" i="2"/>
  <c r="T20" i="2"/>
  <c r="U19" i="2"/>
  <c r="U23" i="2"/>
  <c r="U22" i="2"/>
  <c r="U21" i="2"/>
  <c r="T21" i="2"/>
  <c r="U20" i="2"/>
  <c r="T19" i="2"/>
  <c r="T23" i="2"/>
  <c r="U3" i="2"/>
  <c r="U13" i="2"/>
  <c r="U11" i="2"/>
  <c r="U10" i="2"/>
  <c r="U9" i="2"/>
  <c r="T12" i="2"/>
  <c r="T10" i="2"/>
  <c r="T9" i="2"/>
  <c r="U12" i="2"/>
  <c r="T13" i="2"/>
  <c r="T11" i="2"/>
  <c r="S5" i="2"/>
  <c r="T5" i="2" s="1"/>
  <c r="X5" i="2" s="1"/>
  <c r="S4" i="2"/>
  <c r="T4" i="2" s="1"/>
  <c r="X4" i="2" s="1"/>
  <c r="V3" i="2"/>
  <c r="T3" i="2"/>
  <c r="X3" i="2" s="1"/>
</calcChain>
</file>

<file path=xl/sharedStrings.xml><?xml version="1.0" encoding="utf-8"?>
<sst xmlns="http://schemas.openxmlformats.org/spreadsheetml/2006/main" count="337" uniqueCount="149">
  <si>
    <t>Артикул</t>
  </si>
  <si>
    <t>Екатеринбург</t>
  </si>
  <si>
    <t>Казань</t>
  </si>
  <si>
    <t>Краснодар</t>
  </si>
  <si>
    <t>Самара</t>
  </si>
  <si>
    <t>вес</t>
  </si>
  <si>
    <t>длина</t>
  </si>
  <si>
    <t>высота</t>
  </si>
  <si>
    <t>ширина</t>
  </si>
  <si>
    <t>PIM: Приемка на склад руб/ паллет</t>
  </si>
  <si>
    <t>PIM: Приемка на склад руб/ шт</t>
  </si>
  <si>
    <t>PIM: Хранение палеты 30 дн руб/шт</t>
  </si>
  <si>
    <t>PIM: Хранение в месяц руб/шт</t>
  </si>
  <si>
    <t>PIM: Формирование отправления FBS/DBS</t>
  </si>
  <si>
    <t>PIM: Маркировка</t>
  </si>
  <si>
    <t>Отгрузка со склада</t>
  </si>
  <si>
    <t>ср миля от склада до СЦ</t>
  </si>
  <si>
    <t>вес палеты с этим товаром</t>
  </si>
  <si>
    <t>шт на паллете</t>
  </si>
  <si>
    <t>литры</t>
  </si>
  <si>
    <t>объемный вес</t>
  </si>
  <si>
    <t>Сумма затрат DBS, руб/шт с хранением</t>
  </si>
  <si>
    <t>вес паллеты</t>
  </si>
  <si>
    <t>Складские операции ФФ+ хранение на 1 ед.</t>
  </si>
  <si>
    <t>Складские операции ФФ на 1 ед.</t>
  </si>
  <si>
    <t>ФФ и хранение</t>
  </si>
  <si>
    <t>Схема FBS</t>
  </si>
  <si>
    <t xml:space="preserve">Сумма затрат FBS, руб/шт + складские операции и хранение </t>
  </si>
  <si>
    <r>
      <t xml:space="preserve">доставка до двери по </t>
    </r>
    <r>
      <rPr>
        <b/>
        <sz val="10"/>
        <color rgb="FFFF0000"/>
        <rFont val="Calibri"/>
        <family val="2"/>
        <charset val="204"/>
      </rPr>
      <t xml:space="preserve">городу </t>
    </r>
  </si>
  <si>
    <t>Схема DBS 
любой город</t>
  </si>
  <si>
    <t xml:space="preserve">доставка до города </t>
  </si>
  <si>
    <t xml:space="preserve">фура из МСК </t>
  </si>
  <si>
    <t xml:space="preserve">33 паллеты </t>
  </si>
  <si>
    <t>Новосибирск</t>
  </si>
  <si>
    <t xml:space="preserve">Красноярск </t>
  </si>
  <si>
    <t>СПБ</t>
  </si>
  <si>
    <t>Уссурийск</t>
  </si>
  <si>
    <t>Хабаровск</t>
  </si>
  <si>
    <t>стоимость 
фуры</t>
  </si>
  <si>
    <t xml:space="preserve">стоимость 
на 1 ед товара </t>
  </si>
  <si>
    <t>по городам без НДС</t>
  </si>
  <si>
    <t>Нижний Новгород</t>
  </si>
  <si>
    <t xml:space="preserve">PIM.Seller складские операции </t>
  </si>
  <si>
    <t xml:space="preserve">вешалки </t>
  </si>
  <si>
    <t>https://www.wildberries.ru/catalog/481709074/detail.aspx</t>
  </si>
  <si>
    <t>https://www.wildberries.ru/catalog/530092374/detail.aspx</t>
  </si>
  <si>
    <t>тумбочка</t>
  </si>
  <si>
    <t>https://www.wildberries.ru/catalog/481714043/detail.aspx</t>
  </si>
  <si>
    <t>столик</t>
  </si>
  <si>
    <t>PIM: Хранение палеты сут руб/паллета высота 1,5м /1,8 м</t>
  </si>
  <si>
    <t>(если захотите вести в регионы)</t>
  </si>
  <si>
    <t>Wildberries</t>
  </si>
  <si>
    <t>Коледино</t>
  </si>
  <si>
    <t>Коэфф склада</t>
  </si>
  <si>
    <t>Санкт-Петербург</t>
  </si>
  <si>
    <t>Логистика FBS</t>
  </si>
  <si>
    <t>Первый литр</t>
  </si>
  <si>
    <t>доп. Литр</t>
  </si>
  <si>
    <t>Логистика</t>
  </si>
  <si>
    <t>Хранение</t>
  </si>
  <si>
    <t>паллета</t>
  </si>
  <si>
    <t>Хранение палеты сут руб/паллета высота 1,5м /1,8 м</t>
  </si>
  <si>
    <t>Приемка на склад руб/ шт</t>
  </si>
  <si>
    <t>Приемка на склад руб/ паллет</t>
  </si>
  <si>
    <t xml:space="preserve"> Хранение палеты 30 дн руб/шт</t>
  </si>
  <si>
    <t xml:space="preserve"> Хранение в месяц руб/шт</t>
  </si>
  <si>
    <t>вешалки</t>
  </si>
  <si>
    <t>Логистика FBO</t>
  </si>
  <si>
    <t xml:space="preserve">тумбочка </t>
  </si>
  <si>
    <t>Логистика FBS (шт)</t>
  </si>
  <si>
    <t>Цена</t>
  </si>
  <si>
    <t>Склад</t>
  </si>
  <si>
    <t>Москва</t>
  </si>
  <si>
    <t xml:space="preserve">Логистика Питер FBS </t>
  </si>
  <si>
    <t>Логистика Питер FBO</t>
  </si>
  <si>
    <t>Наценка за нелокальную доставку</t>
  </si>
  <si>
    <t>Доставка до места выдачи</t>
  </si>
  <si>
    <t>Приемка отправления на СЦ</t>
  </si>
  <si>
    <t>Логистика с учетом наценки</t>
  </si>
  <si>
    <t>FBS</t>
  </si>
  <si>
    <t>DBS</t>
  </si>
  <si>
    <t>FBO</t>
  </si>
  <si>
    <t>Комиссия FBS</t>
  </si>
  <si>
    <t>Комиссия FBO</t>
  </si>
  <si>
    <t>Озон</t>
  </si>
  <si>
    <t>Затраты Маркетплейс</t>
  </si>
  <si>
    <t>Затраты маркетплейс</t>
  </si>
  <si>
    <t>ФФ + хранение</t>
  </si>
  <si>
    <t>Cредняя миля</t>
  </si>
  <si>
    <t>Затраты PIM.Seller</t>
  </si>
  <si>
    <t>Комиссия DBS</t>
  </si>
  <si>
    <t>Доставка до двери</t>
  </si>
  <si>
    <t xml:space="preserve">ссылка </t>
  </si>
  <si>
    <t>PIM: Хранение палеты сут руб/паллета высота  /1,8 м</t>
  </si>
  <si>
    <t>комиссии</t>
  </si>
  <si>
    <t>Логистика МП</t>
  </si>
  <si>
    <r>
      <t xml:space="preserve">Логистика FBO (шт) </t>
    </r>
    <r>
      <rPr>
        <b/>
        <sz val="10"/>
        <color rgb="FF7030A0"/>
        <rFont val="Calibri"/>
        <family val="2"/>
        <charset val="204"/>
      </rPr>
      <t xml:space="preserve">доставка до клиента </t>
    </r>
  </si>
  <si>
    <t>Хранение палеты сут руб/паллета высота /1,8 м</t>
  </si>
  <si>
    <t>почему 165?</t>
  </si>
  <si>
    <t>FBO, руб.</t>
  </si>
  <si>
    <t>FBS, руб.</t>
  </si>
  <si>
    <t>DBS руб.</t>
  </si>
  <si>
    <t>без учета первой мили!</t>
  </si>
  <si>
    <t>Всего Затраты, сравнение схем</t>
  </si>
  <si>
    <t xml:space="preserve">Варианты </t>
  </si>
  <si>
    <t>коэф склада 160%</t>
  </si>
  <si>
    <t>% локализации</t>
  </si>
  <si>
    <t>КТР</t>
  </si>
  <si>
    <t>95,00–100,00%</t>
  </si>
  <si>
    <t>90,00–94,99%</t>
  </si>
  <si>
    <t>85,00–89,99%</t>
  </si>
  <si>
    <t>80,00–84,99%</t>
  </si>
  <si>
    <t>75,00–79,99%</t>
  </si>
  <si>
    <t>70,00–74,99%</t>
  </si>
  <si>
    <t>65,00–69,99%</t>
  </si>
  <si>
    <t>60,00–64,99%</t>
  </si>
  <si>
    <t>55,00–59,99%</t>
  </si>
  <si>
    <t>50,00–54,99%</t>
  </si>
  <si>
    <t>45,00–49,99%</t>
  </si>
  <si>
    <t>40,00–44,99%</t>
  </si>
  <si>
    <t>35,00–39,99%</t>
  </si>
  <si>
    <t>30,00–34,99%</t>
  </si>
  <si>
    <t>25,00–29,99%</t>
  </si>
  <si>
    <t>20,00–24,99%</t>
  </si>
  <si>
    <t>15,00–19,99%</t>
  </si>
  <si>
    <t>10,00–14,99%</t>
  </si>
  <si>
    <t>0,00–9,99%</t>
  </si>
  <si>
    <t>КТР=1,4</t>
  </si>
  <si>
    <t>КТР=1,2</t>
  </si>
  <si>
    <t xml:space="preserve">если отгружаем в согласованные слоты </t>
  </si>
  <si>
    <t>FBS*</t>
  </si>
  <si>
    <t>Сравнение</t>
  </si>
  <si>
    <t>Доля локализации (процент локализации)</t>
  </si>
  <si>
    <r>
      <t>Что это:</t>
    </r>
    <r>
      <rPr>
        <sz val="6"/>
        <color theme="1"/>
        <rFont val="Segoe UI"/>
        <family val="2"/>
        <charset val="204"/>
      </rPr>
      <t> Процент заказов, доставленных </t>
    </r>
    <r>
      <rPr>
        <sz val="6"/>
        <color theme="1"/>
        <rFont val="Segoe UI"/>
        <family val="2"/>
        <charset val="204"/>
      </rPr>
      <t>в пределах одного федерального округа (ФО)</t>
    </r>
    <r>
      <rPr>
        <sz val="6"/>
        <color theme="1"/>
        <rFont val="Segoe UI"/>
        <family val="2"/>
        <charset val="204"/>
      </rPr>
      <t>.</t>
    </r>
  </si>
  <si>
    <r>
      <t>Формула:</t>
    </r>
    <r>
      <rPr>
        <sz val="6"/>
        <color theme="1"/>
        <rFont val="Segoe UI"/>
        <family val="2"/>
        <charset val="204"/>
      </rPr>
      <t> </t>
    </r>
    <r>
      <rPr>
        <sz val="9.6"/>
        <color theme="1"/>
        <rFont val="Courier New"/>
        <family val="3"/>
        <charset val="204"/>
      </rPr>
      <t>(локальные заказы по артикулу ÷ все заказы по артикулу) × 100%</t>
    </r>
  </si>
  <si>
    <r>
      <t>Расчет:</t>
    </r>
    <r>
      <rPr>
        <sz val="6"/>
        <color theme="1"/>
        <rFont val="Segoe UI"/>
        <family val="2"/>
        <charset val="204"/>
      </rPr>
      <t> По каждому артикулу отдельно, за 13 недель.</t>
    </r>
  </si>
  <si>
    <r>
      <t>Диапазон:</t>
    </r>
    <r>
      <rPr>
        <sz val="6"/>
        <color theme="1"/>
        <rFont val="Segoe UI"/>
        <family val="2"/>
        <charset val="204"/>
      </rPr>
      <t> 0–100%.</t>
    </r>
  </si>
  <si>
    <r>
      <t>Пример:</t>
    </r>
    <r>
      <rPr>
        <sz val="6"/>
        <color theme="1"/>
        <rFont val="Segoe UI"/>
        <family val="2"/>
        <charset val="204"/>
      </rPr>
      <t> 800 заказов в ЦФО, всего 1000 → 80%.</t>
    </r>
  </si>
  <si>
    <t>КТР (коэффициент территориального распределения)</t>
  </si>
  <si>
    <r>
      <t>Что это:</t>
    </r>
    <r>
      <rPr>
        <sz val="6"/>
        <color theme="1"/>
        <rFont val="Segoe UI"/>
        <family val="2"/>
        <charset val="204"/>
      </rPr>
      <t> Множитель стоимости логистики, привязанный к </t>
    </r>
    <r>
      <rPr>
        <sz val="6"/>
        <color theme="1"/>
        <rFont val="Segoe UI"/>
        <family val="2"/>
        <charset val="204"/>
      </rPr>
      <t>% локализации</t>
    </r>
    <r>
      <rPr>
        <sz val="6"/>
        <color theme="1"/>
        <rFont val="Segoe UI"/>
        <family val="2"/>
        <charset val="204"/>
      </rPr>
      <t> по таблице.</t>
    </r>
  </si>
  <si>
    <r>
      <t>Как работает:</t>
    </r>
    <r>
      <rPr>
        <sz val="6"/>
        <color theme="1"/>
        <rFont val="Segoe UI"/>
        <family val="2"/>
        <charset val="204"/>
      </rPr>
      <t> Базовый тариф логистики × КТР.</t>
    </r>
  </si>
  <si>
    <r>
      <t>Диапазон:</t>
    </r>
    <r>
      <rPr>
        <sz val="6"/>
        <color theme="1"/>
        <rFont val="Segoe UI"/>
        <family val="2"/>
        <charset val="204"/>
      </rPr>
      <t> 0.50 (скидка 50%) — 2.00 (наценка 100%).</t>
    </r>
  </si>
  <si>
    <r>
      <t>Применяется:</t>
    </r>
    <r>
      <rPr>
        <sz val="6"/>
        <color theme="1"/>
        <rFont val="Segoe UI"/>
        <family val="2"/>
        <charset val="204"/>
      </rPr>
      <t> К каждому заказу индивидуально.</t>
    </r>
  </si>
  <si>
    <t>Индекс локализации (ИЛ)</t>
  </si>
  <si>
    <r>
      <t>Что это:</t>
    </r>
    <r>
      <rPr>
        <sz val="6"/>
        <color theme="1"/>
        <rFont val="Segoe UI"/>
        <family val="2"/>
        <charset val="204"/>
      </rPr>
      <t> </t>
    </r>
    <r>
      <rPr>
        <sz val="6"/>
        <color theme="1"/>
        <rFont val="Segoe UI"/>
        <family val="2"/>
        <charset val="204"/>
      </rPr>
      <t>Среднее значение КТР по ВСЕМ заказам</t>
    </r>
    <r>
      <rPr>
        <sz val="6"/>
        <color theme="1"/>
        <rFont val="Segoe UI"/>
        <family val="2"/>
        <charset val="204"/>
      </rPr>
      <t> магазина (не %).</t>
    </r>
  </si>
  <si>
    <r>
      <t>Формула:</t>
    </r>
    <r>
      <rPr>
        <sz val="6"/>
        <color theme="1"/>
        <rFont val="Segoe UI"/>
        <family val="2"/>
        <charset val="204"/>
      </rPr>
      <t> </t>
    </r>
    <r>
      <rPr>
        <sz val="9.6"/>
        <color theme="1"/>
        <rFont val="Courier New"/>
        <family val="3"/>
        <charset val="204"/>
      </rPr>
      <t>(∑(заказы артикула × КТР артикула)) ÷ общее количество заказов</t>
    </r>
  </si>
  <si>
    <r>
      <t>Расчет:</t>
    </r>
    <r>
      <rPr>
        <sz val="6"/>
        <color theme="1"/>
        <rFont val="Segoe UI"/>
        <family val="2"/>
        <charset val="204"/>
      </rPr>
      <t> Еженедельно (понедельник), за 13 недель, только FBW/FBO заказы.</t>
    </r>
  </si>
  <si>
    <r>
      <t>Диапазон:</t>
    </r>
    <r>
      <rPr>
        <sz val="6"/>
        <color theme="1"/>
        <rFont val="Segoe UI"/>
        <family val="2"/>
        <charset val="204"/>
      </rPr>
      <t> 0.50–2.00 (коэффициент, а не %).</t>
    </r>
  </si>
  <si>
    <r>
      <t>Показывается:</t>
    </r>
    <r>
      <rPr>
        <sz val="6"/>
        <color theme="1"/>
        <rFont val="Segoe UI"/>
        <family val="2"/>
        <charset val="204"/>
      </rPr>
      <t> В ЛК → "Тарифы" → "Коэффициенты складов".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</si>
</sst>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0.0"/>
    <numFmt numFmtId="165" formatCode="_-* #,##0\ &quot;₽&quot;_-;\-* #,##0\ &quot;₽&quot;_-;_-* &quot;-&quot;??\ &quot;₽&quot;_-;_-@_-"/>
    <numFmt numFmtId="166" formatCode="#,##0_ ;\-#,##0\ "/>
    <numFmt numFmtId="167" formatCode="#,##0.0_ ;\-#,##0.0\ "/>
    <numFmt numFmtId="168" formatCode="0.0%"/>
  </numFmts>
  <fonts count="28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Calibri"/>
      <family val="2"/>
      <charset val="204"/>
    </font>
    <font>
      <b/>
      <sz val="10"/>
      <color rgb="FFC65911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C65911"/>
      <name val="Calibri"/>
      <family val="2"/>
    </font>
    <font>
      <b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scheme val="minor"/>
    </font>
    <font>
      <b/>
      <sz val="10"/>
      <color rgb="FF7030A0"/>
      <name val="Calibri"/>
      <family val="2"/>
      <charset val="204"/>
    </font>
    <font>
      <b/>
      <sz val="11"/>
      <color rgb="FF0070C0"/>
      <name val="Calibri"/>
      <family val="2"/>
      <scheme val="minor"/>
    </font>
    <font>
      <b/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6"/>
      <color theme="1"/>
      <name val="Segoe UI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8"/>
      <color theme="1"/>
      <name val="Segoe UI"/>
      <family val="2"/>
      <charset val="204"/>
    </font>
    <font>
      <sz val="6"/>
      <color theme="1"/>
      <name val="Segoe UI"/>
      <family val="2"/>
      <charset val="204"/>
    </font>
    <font>
      <sz val="9.6"/>
      <color theme="1"/>
      <name val="Courier New"/>
      <family val="3"/>
      <charset val="204"/>
    </font>
    <font>
      <sz val="10"/>
      <color theme="1"/>
      <name val="Segoe UI"/>
      <family val="2"/>
      <charset val="204"/>
    </font>
    <font>
      <sz val="9"/>
      <color theme="1"/>
      <name val="Segoe U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00B050"/>
      </top>
      <bottom/>
      <diagonal/>
    </border>
    <border>
      <left style="thick">
        <color rgb="FF00B050"/>
      </left>
      <right/>
      <top style="thin">
        <color indexed="64"/>
      </top>
      <bottom style="thick">
        <color rgb="FF00B050"/>
      </bottom>
      <diagonal/>
    </border>
    <border>
      <left style="thick">
        <color rgb="FF00B05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rgb="FF00B050"/>
      </bottom>
      <diagonal/>
    </border>
    <border>
      <left style="medium">
        <color rgb="FF00B050"/>
      </left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/>
      <top style="thin">
        <color indexed="64"/>
      </top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1"/>
      </left>
      <right/>
      <top style="medium">
        <color rgb="FF00B050"/>
      </top>
      <bottom style="thin">
        <color indexed="64"/>
      </bottom>
      <diagonal/>
    </border>
    <border>
      <left/>
      <right style="thick">
        <color theme="1"/>
      </right>
      <top style="medium">
        <color rgb="FF00B050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n">
        <color indexed="64"/>
      </top>
      <bottom style="medium">
        <color theme="1"/>
      </bottom>
      <diagonal/>
    </border>
    <border>
      <left/>
      <right style="thick">
        <color rgb="FF00B050"/>
      </right>
      <top/>
      <bottom style="thin">
        <color indexed="64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" fontId="0" fillId="0" borderId="1" xfId="0" applyNumberFormat="1" applyBorder="1"/>
    <xf numFmtId="0" fontId="5" fillId="7" borderId="1" xfId="0" applyFont="1" applyFill="1" applyBorder="1" applyAlignment="1">
      <alignment horizontal="center" wrapText="1"/>
    </xf>
    <xf numFmtId="164" fontId="5" fillId="7" borderId="1" xfId="0" applyNumberFormat="1" applyFont="1" applyFill="1" applyBorder="1" applyAlignment="1">
      <alignment horizontal="center" wrapText="1"/>
    </xf>
    <xf numFmtId="0" fontId="5" fillId="7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0" borderId="2" xfId="0" applyFont="1" applyBorder="1" applyAlignment="1">
      <alignment wrapText="1"/>
    </xf>
    <xf numFmtId="0" fontId="3" fillId="4" borderId="3" xfId="0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wrapText="1"/>
    </xf>
    <xf numFmtId="0" fontId="3" fillId="7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164" fontId="5" fillId="0" borderId="6" xfId="0" applyNumberFormat="1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0" fillId="0" borderId="10" xfId="0" applyBorder="1"/>
    <xf numFmtId="0" fontId="3" fillId="6" borderId="11" xfId="0" applyFont="1" applyFill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3" fillId="6" borderId="16" xfId="0" applyFont="1" applyFill="1" applyBorder="1" applyAlignment="1">
      <alignment horizontal="center" wrapText="1"/>
    </xf>
    <xf numFmtId="1" fontId="0" fillId="7" borderId="12" xfId="0" applyNumberFormat="1" applyFill="1" applyBorder="1"/>
    <xf numFmtId="0" fontId="6" fillId="7" borderId="15" xfId="0" applyFont="1" applyFill="1" applyBorder="1" applyAlignment="1">
      <alignment horizontal="right" wrapText="1"/>
    </xf>
    <xf numFmtId="0" fontId="0" fillId="0" borderId="22" xfId="0" applyBorder="1"/>
    <xf numFmtId="0" fontId="0" fillId="8" borderId="0" xfId="0" applyFill="1"/>
    <xf numFmtId="0" fontId="0" fillId="0" borderId="21" xfId="0" applyBorder="1"/>
    <xf numFmtId="0" fontId="0" fillId="0" borderId="21" xfId="0" applyBorder="1" applyAlignment="1">
      <alignment wrapText="1"/>
    </xf>
    <xf numFmtId="1" fontId="0" fillId="0" borderId="21" xfId="0" applyNumberFormat="1" applyBorder="1"/>
    <xf numFmtId="0" fontId="8" fillId="0" borderId="0" xfId="1"/>
    <xf numFmtId="0" fontId="3" fillId="8" borderId="15" xfId="0" applyFont="1" applyFill="1" applyBorder="1" applyAlignment="1">
      <alignment horizontal="center" wrapText="1"/>
    </xf>
    <xf numFmtId="0" fontId="3" fillId="8" borderId="25" xfId="0" applyFont="1" applyFill="1" applyBorder="1" applyAlignment="1">
      <alignment horizontal="center" wrapText="1"/>
    </xf>
    <xf numFmtId="1" fontId="5" fillId="7" borderId="25" xfId="0" applyNumberFormat="1" applyFont="1" applyFill="1" applyBorder="1" applyAlignment="1">
      <alignment horizontal="center" wrapText="1"/>
    </xf>
    <xf numFmtId="0" fontId="0" fillId="0" borderId="26" xfId="0" applyBorder="1"/>
    <xf numFmtId="164" fontId="6" fillId="7" borderId="12" xfId="0" applyNumberFormat="1" applyFont="1" applyFill="1" applyBorder="1" applyAlignment="1">
      <alignment horizontal="right" wrapText="1"/>
    </xf>
    <xf numFmtId="1" fontId="3" fillId="7" borderId="2" xfId="0" applyNumberFormat="1" applyFont="1" applyFill="1" applyBorder="1" applyAlignment="1">
      <alignment horizontal="left" wrapText="1" indent="2"/>
    </xf>
    <xf numFmtId="9" fontId="0" fillId="0" borderId="0" xfId="3" applyFont="1"/>
    <xf numFmtId="165" fontId="0" fillId="0" borderId="0" xfId="2" applyNumberFormat="1" applyFont="1"/>
    <xf numFmtId="165" fontId="0" fillId="0" borderId="0" xfId="0" applyNumberFormat="1"/>
    <xf numFmtId="0" fontId="3" fillId="3" borderId="27" xfId="0" applyFont="1" applyFill="1" applyBorder="1" applyAlignment="1">
      <alignment horizontal="center" wrapText="1"/>
    </xf>
    <xf numFmtId="0" fontId="4" fillId="7" borderId="27" xfId="0" applyFont="1" applyFill="1" applyBorder="1" applyAlignment="1">
      <alignment horizontal="center" wrapText="1"/>
    </xf>
    <xf numFmtId="0" fontId="0" fillId="0" borderId="29" xfId="0" applyBorder="1"/>
    <xf numFmtId="9" fontId="0" fillId="0" borderId="29" xfId="3" applyFont="1" applyBorder="1"/>
    <xf numFmtId="165" fontId="0" fillId="0" borderId="29" xfId="0" applyNumberFormat="1" applyBorder="1"/>
    <xf numFmtId="165" fontId="0" fillId="0" borderId="30" xfId="0" applyNumberFormat="1" applyBorder="1"/>
    <xf numFmtId="9" fontId="0" fillId="0" borderId="0" xfId="3" applyFont="1" applyBorder="1"/>
    <xf numFmtId="165" fontId="0" fillId="0" borderId="32" xfId="0" applyNumberFormat="1" applyBorder="1"/>
    <xf numFmtId="0" fontId="0" fillId="0" borderId="34" xfId="0" applyBorder="1"/>
    <xf numFmtId="9" fontId="0" fillId="0" borderId="34" xfId="3" applyFont="1" applyBorder="1"/>
    <xf numFmtId="165" fontId="0" fillId="0" borderId="34" xfId="0" applyNumberFormat="1" applyBorder="1"/>
    <xf numFmtId="165" fontId="0" fillId="0" borderId="35" xfId="0" applyNumberFormat="1" applyBorder="1"/>
    <xf numFmtId="0" fontId="10" fillId="0" borderId="1" xfId="0" applyFont="1" applyBorder="1" applyAlignment="1">
      <alignment vertical="center"/>
    </xf>
    <xf numFmtId="9" fontId="0" fillId="0" borderId="1" xfId="3" applyFont="1" applyBorder="1"/>
    <xf numFmtId="165" fontId="0" fillId="0" borderId="1" xfId="0" applyNumberFormat="1" applyBorder="1"/>
    <xf numFmtId="166" fontId="0" fillId="0" borderId="0" xfId="2" applyNumberFormat="1" applyFont="1" applyFill="1" applyBorder="1"/>
    <xf numFmtId="0" fontId="8" fillId="0" borderId="1" xfId="1" applyBorder="1"/>
    <xf numFmtId="0" fontId="3" fillId="5" borderId="1" xfId="0" applyFont="1" applyFill="1" applyBorder="1" applyAlignment="1">
      <alignment horizontal="center" wrapText="1"/>
    </xf>
    <xf numFmtId="1" fontId="0" fillId="6" borderId="1" xfId="3" applyNumberFormat="1" applyFont="1" applyFill="1" applyBorder="1"/>
    <xf numFmtId="9" fontId="0" fillId="6" borderId="1" xfId="3" applyFont="1" applyFill="1" applyBorder="1"/>
    <xf numFmtId="0" fontId="10" fillId="0" borderId="0" xfId="0" applyFont="1" applyAlignment="1">
      <alignment vertical="center"/>
    </xf>
    <xf numFmtId="0" fontId="3" fillId="8" borderId="1" xfId="0" applyFont="1" applyFill="1" applyBorder="1" applyAlignment="1">
      <alignment horizontal="center" wrapText="1"/>
    </xf>
    <xf numFmtId="1" fontId="0" fillId="9" borderId="1" xfId="3" applyNumberFormat="1" applyFont="1" applyFill="1" applyBorder="1"/>
    <xf numFmtId="0" fontId="0" fillId="5" borderId="0" xfId="0" applyFill="1"/>
    <xf numFmtId="0" fontId="10" fillId="5" borderId="0" xfId="0" applyFont="1" applyFill="1"/>
    <xf numFmtId="0" fontId="10" fillId="8" borderId="0" xfId="0" applyFont="1" applyFill="1"/>
    <xf numFmtId="0" fontId="0" fillId="10" borderId="0" xfId="0" applyFill="1"/>
    <xf numFmtId="0" fontId="3" fillId="10" borderId="1" xfId="0" applyFont="1" applyFill="1" applyBorder="1" applyAlignment="1">
      <alignment horizontal="center" wrapText="1"/>
    </xf>
    <xf numFmtId="0" fontId="10" fillId="10" borderId="0" xfId="0" applyFont="1" applyFill="1"/>
    <xf numFmtId="0" fontId="12" fillId="7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/>
    <xf numFmtId="164" fontId="10" fillId="0" borderId="1" xfId="0" applyNumberFormat="1" applyFont="1" applyBorder="1"/>
    <xf numFmtId="165" fontId="10" fillId="9" borderId="1" xfId="0" applyNumberFormat="1" applyFont="1" applyFill="1" applyBorder="1"/>
    <xf numFmtId="164" fontId="10" fillId="9" borderId="1" xfId="0" applyNumberFormat="1" applyFont="1" applyFill="1" applyBorder="1"/>
    <xf numFmtId="168" fontId="0" fillId="0" borderId="1" xfId="3" applyNumberFormat="1" applyFont="1" applyBorder="1"/>
    <xf numFmtId="9" fontId="0" fillId="6" borderId="1" xfId="3" applyFont="1" applyFill="1" applyBorder="1" applyAlignment="1">
      <alignment horizontal="center"/>
    </xf>
    <xf numFmtId="165" fontId="0" fillId="6" borderId="1" xfId="0" applyNumberFormat="1" applyFill="1" applyBorder="1"/>
    <xf numFmtId="9" fontId="0" fillId="9" borderId="1" xfId="3" applyFont="1" applyFill="1" applyBorder="1"/>
    <xf numFmtId="165" fontId="0" fillId="9" borderId="1" xfId="0" applyNumberFormat="1" applyFill="1" applyBorder="1"/>
    <xf numFmtId="9" fontId="11" fillId="0" borderId="1" xfId="3" applyFont="1" applyBorder="1"/>
    <xf numFmtId="167" fontId="0" fillId="0" borderId="0" xfId="2" applyNumberFormat="1" applyFont="1" applyFill="1" applyBorder="1"/>
    <xf numFmtId="0" fontId="0" fillId="11" borderId="0" xfId="0" applyFill="1"/>
    <xf numFmtId="0" fontId="0" fillId="11" borderId="5" xfId="0" applyFill="1" applyBorder="1"/>
    <xf numFmtId="0" fontId="14" fillId="0" borderId="0" xfId="0" applyFont="1"/>
    <xf numFmtId="0" fontId="0" fillId="0" borderId="1" xfId="0" applyBorder="1" applyAlignment="1">
      <alignment horizontal="center"/>
    </xf>
    <xf numFmtId="165" fontId="0" fillId="9" borderId="27" xfId="0" applyNumberFormat="1" applyFill="1" applyBorder="1"/>
    <xf numFmtId="164" fontId="0" fillId="0" borderId="27" xfId="0" applyNumberFormat="1" applyBorder="1"/>
    <xf numFmtId="0" fontId="0" fillId="0" borderId="27" xfId="0" applyBorder="1"/>
    <xf numFmtId="0" fontId="13" fillId="0" borderId="0" xfId="0" applyFont="1"/>
    <xf numFmtId="167" fontId="13" fillId="0" borderId="0" xfId="2" applyNumberFormat="1" applyFont="1" applyFill="1" applyBorder="1"/>
    <xf numFmtId="0" fontId="16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vertical="center" wrapText="1"/>
    </xf>
    <xf numFmtId="0" fontId="19" fillId="0" borderId="0" xfId="0" applyFont="1"/>
    <xf numFmtId="164" fontId="0" fillId="9" borderId="1" xfId="0" applyNumberFormat="1" applyFill="1" applyBorder="1"/>
    <xf numFmtId="0" fontId="22" fillId="12" borderId="0" xfId="0" applyFont="1" applyFill="1"/>
    <xf numFmtId="0" fontId="0" fillId="12" borderId="0" xfId="0" applyFill="1"/>
    <xf numFmtId="0" fontId="20" fillId="12" borderId="0" xfId="0" applyFont="1" applyFill="1"/>
    <xf numFmtId="1" fontId="0" fillId="0" borderId="27" xfId="0" applyNumberFormat="1" applyBorder="1"/>
    <xf numFmtId="1" fontId="0" fillId="0" borderId="0" xfId="0" applyNumberFormat="1"/>
    <xf numFmtId="0" fontId="21" fillId="13" borderId="0" xfId="0" applyFont="1" applyFill="1"/>
    <xf numFmtId="0" fontId="24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2" fontId="6" fillId="7" borderId="15" xfId="0" applyNumberFormat="1" applyFont="1" applyFill="1" applyBorder="1" applyAlignment="1">
      <alignment horizontal="right" wrapText="1"/>
    </xf>
    <xf numFmtId="0" fontId="0" fillId="0" borderId="18" xfId="0" applyBorder="1" applyAlignment="1">
      <alignment horizontal="center"/>
    </xf>
    <xf numFmtId="0" fontId="20" fillId="12" borderId="18" xfId="0" applyFont="1" applyFill="1" applyBorder="1" applyAlignment="1">
      <alignment horizontal="center"/>
    </xf>
    <xf numFmtId="0" fontId="20" fillId="13" borderId="18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</cellXfs>
  <cellStyles count="4">
    <cellStyle name="Гиперссылка" xfId="1" builtinId="8"/>
    <cellStyle name="Денежный" xfId="2" builtinId="4"/>
    <cellStyle name="Обычный" xfId="0" builtinId="0"/>
    <cellStyle name="Процентный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wildberries.ru/catalog/481714043/detail.aspx" TargetMode="External"/><Relationship Id="rId1" Type="http://schemas.openxmlformats.org/officeDocument/2006/relationships/hyperlink" Target="https://www.wildberries.ru/catalog/530092374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B343-1BAE-4E83-9354-5B9C27EC145F}">
  <dimension ref="A1:X51"/>
  <sheetViews>
    <sheetView zoomScale="48" zoomScaleNormal="140" workbookViewId="0">
      <selection activeCell="L6" sqref="L6"/>
    </sheetView>
  </sheetViews>
  <sheetFormatPr baseColWidth="10" defaultColWidth="8.83203125" defaultRowHeight="15" x14ac:dyDescent="0.2"/>
  <cols>
    <col min="2" max="2" width="12.83203125" customWidth="1"/>
    <col min="9" max="10" width="11.6640625" customWidth="1"/>
    <col min="19" max="19" width="12.33203125" customWidth="1"/>
    <col min="22" max="22" width="13.33203125" bestFit="1" customWidth="1"/>
  </cols>
  <sheetData>
    <row r="1" spans="1:24" ht="44" customHeight="1" x14ac:dyDescent="0.2">
      <c r="K1" s="113" t="s">
        <v>42</v>
      </c>
      <c r="L1" s="113"/>
      <c r="M1" s="113"/>
      <c r="N1" s="113"/>
      <c r="O1" s="113"/>
      <c r="P1" s="113"/>
      <c r="Q1" s="113"/>
      <c r="R1" s="116"/>
      <c r="S1" s="117" t="s">
        <v>25</v>
      </c>
      <c r="T1" s="118"/>
      <c r="U1" s="119" t="s">
        <v>26</v>
      </c>
      <c r="V1" s="120"/>
      <c r="W1" s="121" t="s">
        <v>29</v>
      </c>
      <c r="X1" s="122"/>
    </row>
    <row r="2" spans="1:24" ht="120" x14ac:dyDescent="0.2">
      <c r="A2" s="3" t="s">
        <v>22</v>
      </c>
      <c r="B2" s="1" t="s">
        <v>0</v>
      </c>
      <c r="C2" s="10" t="s">
        <v>5</v>
      </c>
      <c r="D2" s="1" t="s">
        <v>6</v>
      </c>
      <c r="E2" s="1" t="s">
        <v>7</v>
      </c>
      <c r="F2" s="1" t="s">
        <v>8</v>
      </c>
      <c r="G2" s="1" t="s">
        <v>20</v>
      </c>
      <c r="H2" s="1" t="s">
        <v>19</v>
      </c>
      <c r="I2" s="1" t="s">
        <v>17</v>
      </c>
      <c r="J2" s="10" t="s">
        <v>18</v>
      </c>
      <c r="K2" s="4" t="s">
        <v>9</v>
      </c>
      <c r="L2" s="15" t="s">
        <v>10</v>
      </c>
      <c r="M2" s="16" t="s">
        <v>49</v>
      </c>
      <c r="N2" s="16" t="s">
        <v>11</v>
      </c>
      <c r="O2" s="16" t="s">
        <v>12</v>
      </c>
      <c r="P2" s="15" t="s">
        <v>13</v>
      </c>
      <c r="Q2" s="15" t="s">
        <v>14</v>
      </c>
      <c r="R2" s="17" t="s">
        <v>15</v>
      </c>
      <c r="S2" s="22" t="s">
        <v>24</v>
      </c>
      <c r="T2" s="13" t="s">
        <v>23</v>
      </c>
      <c r="U2" s="24" t="s">
        <v>16</v>
      </c>
      <c r="V2" s="27" t="s">
        <v>27</v>
      </c>
      <c r="W2" s="36" t="s">
        <v>28</v>
      </c>
      <c r="X2" s="37" t="s">
        <v>21</v>
      </c>
    </row>
    <row r="3" spans="1:24" x14ac:dyDescent="0.2">
      <c r="A3" s="3" t="s">
        <v>44</v>
      </c>
      <c r="B3" s="35" t="s">
        <v>43</v>
      </c>
      <c r="C3" s="11">
        <v>3.9</v>
      </c>
      <c r="D3" s="3">
        <v>107</v>
      </c>
      <c r="E3" s="3">
        <v>49</v>
      </c>
      <c r="F3" s="3">
        <v>8</v>
      </c>
      <c r="G3" s="5">
        <f>D3*E3*F3/5000</f>
        <v>8.3887999999999998</v>
      </c>
      <c r="H3" s="6">
        <f>D3*E3*F3/1000</f>
        <v>41.944000000000003</v>
      </c>
      <c r="I3" s="3">
        <f>J3*C3</f>
        <v>117</v>
      </c>
      <c r="J3" s="11">
        <v>30</v>
      </c>
      <c r="K3" s="7">
        <v>247</v>
      </c>
      <c r="L3" s="8">
        <f>K3/J3</f>
        <v>8.2333333333333325</v>
      </c>
      <c r="M3" s="7">
        <v>32.700000000000003</v>
      </c>
      <c r="N3" s="7">
        <f>M3*30</f>
        <v>981.00000000000011</v>
      </c>
      <c r="O3" s="7">
        <f>N3/J3</f>
        <v>32.700000000000003</v>
      </c>
      <c r="P3" s="9">
        <v>18.5</v>
      </c>
      <c r="Q3" s="9">
        <v>9.6999999999999993</v>
      </c>
      <c r="R3" s="12">
        <v>14.6</v>
      </c>
      <c r="S3" s="20">
        <f>R3+Q3+P3+L3</f>
        <v>51.033333333333331</v>
      </c>
      <c r="T3" s="14">
        <f>S3+O3</f>
        <v>83.733333333333334</v>
      </c>
      <c r="U3" s="40">
        <f>(H3-1)*4.5+24</f>
        <v>208.24800000000002</v>
      </c>
      <c r="V3" s="41">
        <f>U3+R3+Q3+P3+O3+L3</f>
        <v>291.98133333333334</v>
      </c>
      <c r="W3" s="29">
        <f>(C3-3)*21+466</f>
        <v>484.9</v>
      </c>
      <c r="X3" s="38">
        <f>T3+W3</f>
        <v>568.63333333333333</v>
      </c>
    </row>
    <row r="4" spans="1:24" x14ac:dyDescent="0.2">
      <c r="A4" s="3" t="s">
        <v>45</v>
      </c>
      <c r="B4" s="2" t="s">
        <v>46</v>
      </c>
      <c r="C4" s="11">
        <v>13</v>
      </c>
      <c r="D4" s="3">
        <v>55</v>
      </c>
      <c r="E4" s="3">
        <v>43</v>
      </c>
      <c r="F4" s="3">
        <v>15</v>
      </c>
      <c r="G4" s="5">
        <f t="shared" ref="G4:G5" si="0">D4*E4*F4/5000</f>
        <v>7.0949999999999998</v>
      </c>
      <c r="H4" s="6">
        <f t="shared" ref="H4:H5" si="1">D4*E4*F4/1000</f>
        <v>35.475000000000001</v>
      </c>
      <c r="I4" s="3">
        <v>520</v>
      </c>
      <c r="J4" s="11">
        <v>40</v>
      </c>
      <c r="K4" s="7">
        <v>247</v>
      </c>
      <c r="L4" s="8">
        <f>K4/J4</f>
        <v>6.1749999999999998</v>
      </c>
      <c r="M4" s="7">
        <v>39.799999999999997</v>
      </c>
      <c r="N4" s="7">
        <f t="shared" ref="N4:N5" si="2">M4*30</f>
        <v>1194</v>
      </c>
      <c r="O4" s="7">
        <f>N4/J4</f>
        <v>29.85</v>
      </c>
      <c r="P4" s="9">
        <v>32.5</v>
      </c>
      <c r="Q4" s="9">
        <v>9.6999999999999993</v>
      </c>
      <c r="R4" s="21">
        <v>27.5</v>
      </c>
      <c r="S4" s="14">
        <f>R4+Q4+P4+L4</f>
        <v>75.875</v>
      </c>
      <c r="T4" s="14">
        <f>S4+O4</f>
        <v>105.72499999999999</v>
      </c>
      <c r="U4" s="28">
        <f>(H4-1)*4.5+24</f>
        <v>179.13750000000002</v>
      </c>
      <c r="V4" s="41">
        <f>U4+R4+Q4+P4+O4+L4</f>
        <v>284.86250000000001</v>
      </c>
      <c r="W4" s="29">
        <f>(C4-3)*21+466</f>
        <v>676</v>
      </c>
      <c r="X4" s="38">
        <f t="shared" ref="X4:X5" si="3">T4+W4</f>
        <v>781.72500000000002</v>
      </c>
    </row>
    <row r="5" spans="1:24" x14ac:dyDescent="0.2">
      <c r="A5" s="3" t="s">
        <v>47</v>
      </c>
      <c r="B5" s="2" t="s">
        <v>48</v>
      </c>
      <c r="C5" s="11">
        <v>21.1</v>
      </c>
      <c r="D5" s="3">
        <v>105</v>
      </c>
      <c r="E5" s="3">
        <v>105</v>
      </c>
      <c r="F5" s="3">
        <v>11</v>
      </c>
      <c r="G5" s="5">
        <f t="shared" si="0"/>
        <v>24.254999999999999</v>
      </c>
      <c r="H5" s="6">
        <f t="shared" si="1"/>
        <v>121.27500000000001</v>
      </c>
      <c r="I5" s="3">
        <f>J5*C5</f>
        <v>337.6</v>
      </c>
      <c r="J5" s="11">
        <v>16</v>
      </c>
      <c r="K5" s="7">
        <v>247</v>
      </c>
      <c r="L5" s="8">
        <f>K5/J5</f>
        <v>15.4375</v>
      </c>
      <c r="M5" s="7">
        <v>39.799999999999997</v>
      </c>
      <c r="N5" s="7">
        <f t="shared" si="2"/>
        <v>1194</v>
      </c>
      <c r="O5" s="8">
        <f>N5/J5</f>
        <v>74.625</v>
      </c>
      <c r="P5" s="9">
        <v>32.5</v>
      </c>
      <c r="Q5" s="9">
        <v>9.6999999999999993</v>
      </c>
      <c r="R5" s="21">
        <v>27.5</v>
      </c>
      <c r="S5" s="20">
        <f>R5+Q5+P5+L5</f>
        <v>85.137500000000003</v>
      </c>
      <c r="T5" s="14">
        <f>S5+O5</f>
        <v>159.76249999999999</v>
      </c>
      <c r="U5" s="28">
        <f>(H5-1)*4.5+24</f>
        <v>565.23750000000007</v>
      </c>
      <c r="V5" s="41">
        <f>U5+R5+Q5+P5+O5+L5</f>
        <v>725.00000000000011</v>
      </c>
      <c r="W5" s="29">
        <f>(C5-3)*21+466</f>
        <v>846.1</v>
      </c>
      <c r="X5" s="38">
        <f t="shared" si="3"/>
        <v>1005.8625</v>
      </c>
    </row>
    <row r="6" spans="1:24" ht="16" thickBot="1" x14ac:dyDescent="0.25">
      <c r="S6" s="19"/>
      <c r="T6" s="23"/>
      <c r="U6" s="25"/>
      <c r="W6" s="30"/>
      <c r="X6" s="39"/>
    </row>
    <row r="7" spans="1:24" ht="16" thickTop="1" x14ac:dyDescent="0.2">
      <c r="M7" t="s">
        <v>51</v>
      </c>
      <c r="S7" s="18"/>
      <c r="V7" s="26"/>
    </row>
    <row r="8" spans="1:24" ht="72" customHeight="1" thickBot="1" x14ac:dyDescent="0.25">
      <c r="F8" t="s">
        <v>53</v>
      </c>
      <c r="G8" t="s">
        <v>55</v>
      </c>
      <c r="K8" s="45" t="s">
        <v>63</v>
      </c>
      <c r="L8" s="45" t="s">
        <v>62</v>
      </c>
      <c r="M8" s="46" t="s">
        <v>61</v>
      </c>
      <c r="N8" s="46" t="s">
        <v>64</v>
      </c>
      <c r="O8" s="46" t="s">
        <v>65</v>
      </c>
      <c r="T8" s="45" t="s">
        <v>67</v>
      </c>
      <c r="U8" s="45" t="s">
        <v>55</v>
      </c>
    </row>
    <row r="9" spans="1:24" x14ac:dyDescent="0.2">
      <c r="D9" s="124" t="s">
        <v>66</v>
      </c>
      <c r="E9" s="47" t="s">
        <v>52</v>
      </c>
      <c r="F9" s="48">
        <v>2</v>
      </c>
      <c r="G9" s="48">
        <v>1.65</v>
      </c>
      <c r="H9" s="47"/>
      <c r="I9" s="47"/>
      <c r="J9" s="47"/>
      <c r="K9" s="47"/>
      <c r="L9" s="47"/>
      <c r="M9" s="49">
        <f>$F$28*F9</f>
        <v>50</v>
      </c>
      <c r="N9" s="49">
        <f>M9*30</f>
        <v>1500</v>
      </c>
      <c r="O9" s="49">
        <f>N9/$J$3</f>
        <v>50</v>
      </c>
      <c r="P9" s="47"/>
      <c r="Q9" s="47"/>
      <c r="R9" s="47"/>
      <c r="S9" s="47"/>
      <c r="T9" s="49">
        <f>$F$26*$F$9+(($H$3-1)*$F$27)</f>
        <v>665.21600000000001</v>
      </c>
      <c r="U9" s="50">
        <f>$G$26*$G$9+(($H$3-1)*$G$27)</f>
        <v>649.11599999999999</v>
      </c>
    </row>
    <row r="10" spans="1:24" x14ac:dyDescent="0.2">
      <c r="D10" s="125"/>
      <c r="E10" t="s">
        <v>54</v>
      </c>
      <c r="F10" s="51">
        <v>2.5</v>
      </c>
      <c r="G10" s="51">
        <v>2</v>
      </c>
      <c r="M10" s="44">
        <f t="shared" ref="M10:M13" si="4">$F$28*F10</f>
        <v>62.5</v>
      </c>
      <c r="N10" s="44">
        <f t="shared" ref="N10:N23" si="5">M10*30</f>
        <v>1875</v>
      </c>
      <c r="O10" s="44">
        <f t="shared" ref="O10:O13" si="6">N10/$J$3</f>
        <v>62.5</v>
      </c>
      <c r="T10" s="44">
        <f>$F$26*$F$10+(($H$3-1)*$F$27)</f>
        <v>688.21600000000001</v>
      </c>
      <c r="U10" s="52">
        <f>$G$26*$G$10+(($H$3-1)*$G$27)</f>
        <v>665.21600000000001</v>
      </c>
    </row>
    <row r="11" spans="1:24" x14ac:dyDescent="0.2">
      <c r="D11" s="125"/>
      <c r="E11" t="s">
        <v>1</v>
      </c>
      <c r="F11" s="51">
        <v>1.2</v>
      </c>
      <c r="G11" s="51">
        <v>2</v>
      </c>
      <c r="M11" s="44">
        <f t="shared" si="4"/>
        <v>30</v>
      </c>
      <c r="N11" s="44">
        <f t="shared" si="5"/>
        <v>900</v>
      </c>
      <c r="O11" s="44">
        <f t="shared" si="6"/>
        <v>30</v>
      </c>
      <c r="T11" s="44">
        <f>$F$26*$F$11+(($H$3-1)*$F$27)</f>
        <v>628.41600000000005</v>
      </c>
      <c r="U11" s="52">
        <f>$G$26*$G$11+(($H$3-1)*$G$27)</f>
        <v>665.21600000000001</v>
      </c>
    </row>
    <row r="12" spans="1:24" x14ac:dyDescent="0.2">
      <c r="D12" s="125"/>
      <c r="E12" t="s">
        <v>2</v>
      </c>
      <c r="F12" s="51">
        <v>2.4</v>
      </c>
      <c r="G12" s="51">
        <v>2</v>
      </c>
      <c r="M12" s="44">
        <f t="shared" si="4"/>
        <v>60</v>
      </c>
      <c r="N12" s="44">
        <f t="shared" si="5"/>
        <v>1800</v>
      </c>
      <c r="O12" s="44">
        <f t="shared" si="6"/>
        <v>60</v>
      </c>
      <c r="T12" s="44">
        <f>$F$26*$F$12+(($H$3-1)*$F$27)</f>
        <v>683.61599999999999</v>
      </c>
      <c r="U12" s="52">
        <f>$G$26*$G$12+(($H$3-1)*$G$27)</f>
        <v>665.21600000000001</v>
      </c>
    </row>
    <row r="13" spans="1:24" ht="16" thickBot="1" x14ac:dyDescent="0.25">
      <c r="D13" s="126"/>
      <c r="E13" s="53" t="s">
        <v>3</v>
      </c>
      <c r="F13" s="54">
        <v>1.65</v>
      </c>
      <c r="G13" s="54">
        <v>1.6</v>
      </c>
      <c r="H13" s="53"/>
      <c r="I13" s="53"/>
      <c r="J13" s="53"/>
      <c r="K13" s="53"/>
      <c r="L13" s="53"/>
      <c r="M13" s="55">
        <f t="shared" si="4"/>
        <v>41.25</v>
      </c>
      <c r="N13" s="55">
        <f t="shared" si="5"/>
        <v>1237.5</v>
      </c>
      <c r="O13" s="55">
        <f t="shared" si="6"/>
        <v>41.25</v>
      </c>
      <c r="P13" s="53"/>
      <c r="Q13" s="53"/>
      <c r="R13" s="53"/>
      <c r="S13" s="53"/>
      <c r="T13" s="55">
        <f>$F$26*$F$13+(($H$3-1)*$F$27)</f>
        <v>649.11599999999999</v>
      </c>
      <c r="U13" s="56">
        <f>$G$26*$G$13+(($H$3-1)*$G$27)</f>
        <v>646.81600000000003</v>
      </c>
    </row>
    <row r="14" spans="1:24" x14ac:dyDescent="0.2">
      <c r="D14" s="123" t="s">
        <v>68</v>
      </c>
      <c r="E14" t="s">
        <v>52</v>
      </c>
      <c r="F14" s="42">
        <v>2</v>
      </c>
      <c r="G14" s="42">
        <v>1.65</v>
      </c>
      <c r="M14" s="44">
        <f>$F$28*F14</f>
        <v>50</v>
      </c>
      <c r="N14" s="44">
        <f>M14*30</f>
        <v>1500</v>
      </c>
      <c r="O14" s="44">
        <f>N14/$J$4</f>
        <v>37.5</v>
      </c>
      <c r="T14" s="44">
        <f>$F$26*$F$14+(($H$4-1)*$F$27)</f>
        <v>574.65000000000009</v>
      </c>
      <c r="U14" s="44">
        <f>$G$26*$G$14+(($H$4-1)*$G$27)</f>
        <v>558.55000000000007</v>
      </c>
    </row>
    <row r="15" spans="1:24" x14ac:dyDescent="0.2">
      <c r="D15" s="123"/>
      <c r="E15" t="s">
        <v>54</v>
      </c>
      <c r="F15" s="42">
        <v>2.5</v>
      </c>
      <c r="G15" s="42">
        <v>2</v>
      </c>
      <c r="M15" s="44">
        <f t="shared" ref="M15:M18" si="7">$F$28*F15</f>
        <v>62.5</v>
      </c>
      <c r="N15" s="44">
        <f t="shared" si="5"/>
        <v>1875</v>
      </c>
      <c r="O15" s="44">
        <f t="shared" ref="O15:O18" si="8">N15/$J$4</f>
        <v>46.875</v>
      </c>
      <c r="T15" s="44">
        <f>$F$26*$F$15+(($H$4-1)*$F$27)</f>
        <v>597.65000000000009</v>
      </c>
      <c r="U15" s="44">
        <f>$G$26*$G$15+(($H$4-1)*$G$27)</f>
        <v>574.65000000000009</v>
      </c>
    </row>
    <row r="16" spans="1:24" x14ac:dyDescent="0.2">
      <c r="D16" s="123"/>
      <c r="E16" t="s">
        <v>1</v>
      </c>
      <c r="F16" s="42">
        <v>1.2</v>
      </c>
      <c r="G16" s="42">
        <v>2</v>
      </c>
      <c r="M16" s="44">
        <f t="shared" si="7"/>
        <v>30</v>
      </c>
      <c r="N16" s="44">
        <f t="shared" si="5"/>
        <v>900</v>
      </c>
      <c r="O16" s="44">
        <f t="shared" si="8"/>
        <v>22.5</v>
      </c>
      <c r="T16" s="44">
        <f>$F$26*$F$16+(($H$4-1)*$F$27)</f>
        <v>537.85</v>
      </c>
      <c r="U16" s="44">
        <f>$G$26*$G$16+(($H$4-1)*$G$27)</f>
        <v>574.65000000000009</v>
      </c>
    </row>
    <row r="17" spans="4:21" x14ac:dyDescent="0.2">
      <c r="D17" s="123"/>
      <c r="E17" t="s">
        <v>2</v>
      </c>
      <c r="F17" s="42">
        <v>2.4</v>
      </c>
      <c r="G17" s="42">
        <v>2</v>
      </c>
      <c r="M17" s="44">
        <f t="shared" si="7"/>
        <v>60</v>
      </c>
      <c r="N17" s="44">
        <f t="shared" si="5"/>
        <v>1800</v>
      </c>
      <c r="O17" s="44">
        <f t="shared" si="8"/>
        <v>45</v>
      </c>
      <c r="T17" s="44">
        <f>$F$26*$F$17+(($H$4-1)*$F$27)</f>
        <v>593.05000000000007</v>
      </c>
      <c r="U17" s="44">
        <f>$G$26*$G$17+(($H$4-1)*$G$27)</f>
        <v>574.65000000000009</v>
      </c>
    </row>
    <row r="18" spans="4:21" ht="16" thickBot="1" x14ac:dyDescent="0.25">
      <c r="D18" s="123"/>
      <c r="E18" t="s">
        <v>3</v>
      </c>
      <c r="F18" s="42">
        <v>1.65</v>
      </c>
      <c r="G18" s="42">
        <v>1.6</v>
      </c>
      <c r="M18" s="44">
        <f t="shared" si="7"/>
        <v>41.25</v>
      </c>
      <c r="N18" s="44">
        <f t="shared" si="5"/>
        <v>1237.5</v>
      </c>
      <c r="O18" s="44">
        <f t="shared" si="8"/>
        <v>30.9375</v>
      </c>
      <c r="T18" s="44">
        <f>$F$26*$F$18+(($H$4-1)*$F$27)</f>
        <v>558.55000000000007</v>
      </c>
      <c r="U18" s="44">
        <f>$G$26*$G$18+(($H$4-1)*$G$27)</f>
        <v>556.25</v>
      </c>
    </row>
    <row r="19" spans="4:21" x14ac:dyDescent="0.2">
      <c r="D19" s="124" t="s">
        <v>48</v>
      </c>
      <c r="E19" s="47" t="s">
        <v>52</v>
      </c>
      <c r="F19" s="48">
        <v>2</v>
      </c>
      <c r="G19" s="48">
        <v>1.65</v>
      </c>
      <c r="H19" s="47"/>
      <c r="I19" s="47"/>
      <c r="J19" s="47"/>
      <c r="K19" s="47"/>
      <c r="L19" s="47"/>
      <c r="M19" s="49">
        <f>$F$28*F19</f>
        <v>50</v>
      </c>
      <c r="N19" s="49">
        <f>M19*30</f>
        <v>1500</v>
      </c>
      <c r="O19" s="49">
        <f>N19/$J$5</f>
        <v>93.75</v>
      </c>
      <c r="P19" s="47"/>
      <c r="Q19" s="47"/>
      <c r="R19" s="47"/>
      <c r="S19" s="47"/>
      <c r="T19" s="49">
        <f>$F$26*$F$19+(($H$5-1)*$F$27)</f>
        <v>1775.8500000000001</v>
      </c>
      <c r="U19" s="50">
        <f>$G$26*$G$19+(($H$5-1)*$G$27)</f>
        <v>1759.7500000000002</v>
      </c>
    </row>
    <row r="20" spans="4:21" x14ac:dyDescent="0.2">
      <c r="D20" s="125"/>
      <c r="E20" t="s">
        <v>54</v>
      </c>
      <c r="F20" s="51">
        <v>2.5</v>
      </c>
      <c r="G20" s="51">
        <v>2</v>
      </c>
      <c r="M20" s="44">
        <f t="shared" ref="M20:M23" si="9">$F$28*F20</f>
        <v>62.5</v>
      </c>
      <c r="N20" s="44">
        <f t="shared" si="5"/>
        <v>1875</v>
      </c>
      <c r="O20" s="44">
        <f t="shared" ref="O20:O23" si="10">N20/$J$5</f>
        <v>117.1875</v>
      </c>
      <c r="T20" s="44">
        <f>$F$26*$F$20+(($H$5-1)*$F$27)</f>
        <v>1798.8500000000001</v>
      </c>
      <c r="U20" s="52">
        <f>$G$26*$G$20+(($H$5-1)*$G$27)</f>
        <v>1775.8500000000001</v>
      </c>
    </row>
    <row r="21" spans="4:21" x14ac:dyDescent="0.2">
      <c r="D21" s="125"/>
      <c r="E21" t="s">
        <v>1</v>
      </c>
      <c r="F21" s="51">
        <v>1.2</v>
      </c>
      <c r="G21" s="51">
        <v>2</v>
      </c>
      <c r="M21" s="44">
        <f t="shared" si="9"/>
        <v>30</v>
      </c>
      <c r="N21" s="44">
        <f t="shared" si="5"/>
        <v>900</v>
      </c>
      <c r="O21" s="44">
        <f t="shared" si="10"/>
        <v>56.25</v>
      </c>
      <c r="T21" s="44">
        <f>$F$26*$F$21+(($H$5-1)*$F$27)</f>
        <v>1739.0500000000002</v>
      </c>
      <c r="U21" s="52">
        <f>$G$26*$G$21+(($H$5-1)*$G$27)</f>
        <v>1775.8500000000001</v>
      </c>
    </row>
    <row r="22" spans="4:21" x14ac:dyDescent="0.2">
      <c r="D22" s="125"/>
      <c r="E22" t="s">
        <v>2</v>
      </c>
      <c r="F22" s="51">
        <v>2.4</v>
      </c>
      <c r="G22" s="51">
        <v>2</v>
      </c>
      <c r="M22" s="44">
        <f t="shared" si="9"/>
        <v>60</v>
      </c>
      <c r="N22" s="44">
        <f t="shared" si="5"/>
        <v>1800</v>
      </c>
      <c r="O22" s="44">
        <f t="shared" si="10"/>
        <v>112.5</v>
      </c>
      <c r="T22" s="44">
        <f>$F$26*$F$22+(($H$5-1)*$F$27)</f>
        <v>1794.2500000000002</v>
      </c>
      <c r="U22" s="52">
        <f>$G$26*$G$22+(($H$5-1)*$G$27)</f>
        <v>1775.8500000000001</v>
      </c>
    </row>
    <row r="23" spans="4:21" ht="16" thickBot="1" x14ac:dyDescent="0.25">
      <c r="D23" s="126"/>
      <c r="E23" s="53" t="s">
        <v>3</v>
      </c>
      <c r="F23" s="54">
        <v>1.65</v>
      </c>
      <c r="G23" s="54">
        <v>1.6</v>
      </c>
      <c r="H23" s="53"/>
      <c r="I23" s="53"/>
      <c r="J23" s="53"/>
      <c r="K23" s="53"/>
      <c r="L23" s="53"/>
      <c r="M23" s="55">
        <f t="shared" si="9"/>
        <v>41.25</v>
      </c>
      <c r="N23" s="55">
        <f t="shared" si="5"/>
        <v>1237.5</v>
      </c>
      <c r="O23" s="55">
        <f t="shared" si="10"/>
        <v>77.34375</v>
      </c>
      <c r="P23" s="53"/>
      <c r="Q23" s="53"/>
      <c r="R23" s="53"/>
      <c r="S23" s="53"/>
      <c r="T23" s="55">
        <f>$F$26*$F$23+(($H$5-1)*$F$27)</f>
        <v>1759.7500000000002</v>
      </c>
      <c r="U23" s="56">
        <f>$G$26*$G$23+(($H$5-1)*$G$27)</f>
        <v>1757.45</v>
      </c>
    </row>
    <row r="26" spans="4:21" x14ac:dyDescent="0.2">
      <c r="D26" t="s">
        <v>58</v>
      </c>
      <c r="E26" t="s">
        <v>56</v>
      </c>
      <c r="F26" s="43">
        <v>46</v>
      </c>
      <c r="G26" s="43">
        <v>46</v>
      </c>
    </row>
    <row r="27" spans="4:21" x14ac:dyDescent="0.2">
      <c r="E27" t="s">
        <v>57</v>
      </c>
      <c r="F27" s="43">
        <v>14</v>
      </c>
      <c r="G27" s="43">
        <v>14</v>
      </c>
    </row>
    <row r="28" spans="4:21" x14ac:dyDescent="0.2">
      <c r="D28" t="s">
        <v>59</v>
      </c>
      <c r="E28" t="s">
        <v>60</v>
      </c>
      <c r="F28" s="43">
        <v>25</v>
      </c>
    </row>
    <row r="30" spans="4:21" x14ac:dyDescent="0.2">
      <c r="I30">
        <v>0</v>
      </c>
    </row>
    <row r="36" spans="6:21" x14ac:dyDescent="0.2">
      <c r="F36">
        <v>53.75</v>
      </c>
      <c r="G36" s="42">
        <v>2.15</v>
      </c>
      <c r="S36" t="s">
        <v>30</v>
      </c>
      <c r="U36" t="s">
        <v>50</v>
      </c>
    </row>
    <row r="37" spans="6:21" x14ac:dyDescent="0.2">
      <c r="F37">
        <f>F36*G37/G36</f>
        <v>25</v>
      </c>
      <c r="G37" s="42">
        <v>1</v>
      </c>
    </row>
    <row r="38" spans="6:21" x14ac:dyDescent="0.2">
      <c r="S38" s="31" t="s">
        <v>31</v>
      </c>
      <c r="T38" s="31" t="s">
        <v>40</v>
      </c>
      <c r="U38" s="31"/>
    </row>
    <row r="39" spans="6:21" ht="16" thickBot="1" x14ac:dyDescent="0.25">
      <c r="S39" t="s">
        <v>32</v>
      </c>
    </row>
    <row r="40" spans="6:21" ht="66" thickTop="1" thickBot="1" x14ac:dyDescent="0.25">
      <c r="S40" s="32"/>
      <c r="T40" s="33" t="s">
        <v>38</v>
      </c>
      <c r="U40" s="33" t="s">
        <v>39</v>
      </c>
    </row>
    <row r="41" spans="6:21" ht="17" thickTop="1" thickBot="1" x14ac:dyDescent="0.25">
      <c r="S41" s="32" t="s">
        <v>4</v>
      </c>
      <c r="T41" s="34">
        <v>107582.5</v>
      </c>
      <c r="U41" s="34">
        <f>T41/33/12</f>
        <v>271.67297979797979</v>
      </c>
    </row>
    <row r="42" spans="6:21" ht="17" thickTop="1" thickBot="1" x14ac:dyDescent="0.25">
      <c r="S42" s="32" t="s">
        <v>2</v>
      </c>
      <c r="T42" s="34">
        <v>81967.5</v>
      </c>
      <c r="U42" s="34">
        <f t="shared" ref="U42:U50" si="11">T42/33/12</f>
        <v>206.98863636363637</v>
      </c>
    </row>
    <row r="43" spans="6:21" ht="17" thickTop="1" thickBot="1" x14ac:dyDescent="0.25">
      <c r="S43" s="32" t="s">
        <v>1</v>
      </c>
      <c r="T43" s="34">
        <v>169057.5</v>
      </c>
      <c r="U43" s="34">
        <f t="shared" si="11"/>
        <v>426.91287878787875</v>
      </c>
    </row>
    <row r="44" spans="6:21" ht="17" thickTop="1" thickBot="1" x14ac:dyDescent="0.25">
      <c r="S44" s="32" t="s">
        <v>33</v>
      </c>
      <c r="T44" s="34">
        <v>297131.25</v>
      </c>
      <c r="U44" s="34">
        <f t="shared" si="11"/>
        <v>750.33143939393938</v>
      </c>
    </row>
    <row r="45" spans="6:21" ht="17" thickTop="1" thickBot="1" x14ac:dyDescent="0.25">
      <c r="S45" s="32" t="s">
        <v>34</v>
      </c>
      <c r="T45" s="34">
        <v>368852.5</v>
      </c>
      <c r="U45" s="34">
        <f t="shared" si="11"/>
        <v>931.44570707070704</v>
      </c>
    </row>
    <row r="46" spans="6:21" ht="17" thickTop="1" thickBot="1" x14ac:dyDescent="0.25">
      <c r="S46" s="32" t="s">
        <v>35</v>
      </c>
      <c r="T46" s="34">
        <v>81967.5</v>
      </c>
      <c r="U46" s="34">
        <f t="shared" si="11"/>
        <v>206.98863636363637</v>
      </c>
    </row>
    <row r="47" spans="6:21" ht="17" thickTop="1" thickBot="1" x14ac:dyDescent="0.25">
      <c r="S47" s="32" t="s">
        <v>3</v>
      </c>
      <c r="T47" s="34">
        <v>87091.25</v>
      </c>
      <c r="U47" s="34">
        <f t="shared" si="11"/>
        <v>219.92739898989899</v>
      </c>
    </row>
    <row r="48" spans="6:21" ht="17" thickTop="1" thickBot="1" x14ac:dyDescent="0.25">
      <c r="S48" s="32" t="s">
        <v>41</v>
      </c>
      <c r="T48" s="34">
        <v>51230</v>
      </c>
      <c r="U48" s="34">
        <f t="shared" si="11"/>
        <v>129.36868686868686</v>
      </c>
    </row>
    <row r="49" spans="19:21" ht="17" thickTop="1" thickBot="1" x14ac:dyDescent="0.25">
      <c r="S49" s="32" t="s">
        <v>36</v>
      </c>
      <c r="T49" s="34">
        <v>655320</v>
      </c>
      <c r="U49" s="34">
        <f t="shared" si="11"/>
        <v>1654.848484848485</v>
      </c>
    </row>
    <row r="50" spans="19:21" ht="17" thickTop="1" thickBot="1" x14ac:dyDescent="0.25">
      <c r="S50" s="32" t="s">
        <v>37</v>
      </c>
      <c r="T50" s="34">
        <v>604755</v>
      </c>
      <c r="U50" s="34">
        <f t="shared" si="11"/>
        <v>1527.159090909091</v>
      </c>
    </row>
    <row r="51" spans="19:21" ht="16" thickTop="1" x14ac:dyDescent="0.2"/>
  </sheetData>
  <mergeCells count="7">
    <mergeCell ref="D14:D18"/>
    <mergeCell ref="D19:D23"/>
    <mergeCell ref="K1:R1"/>
    <mergeCell ref="U1:V1"/>
    <mergeCell ref="W1:X1"/>
    <mergeCell ref="S1:T1"/>
    <mergeCell ref="D9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D9AB-E6F9-4443-B616-21586C949BAA}">
  <dimension ref="B1:AG59"/>
  <sheetViews>
    <sheetView tabSelected="1" topLeftCell="A5" zoomScale="78" zoomScaleNormal="140" workbookViewId="0">
      <selection activeCell="V13" sqref="V13"/>
    </sheetView>
  </sheetViews>
  <sheetFormatPr baseColWidth="10" defaultColWidth="8.83203125" defaultRowHeight="15" x14ac:dyDescent="0.2"/>
  <cols>
    <col min="2" max="2" width="15.33203125" customWidth="1"/>
    <col min="3" max="3" width="12.83203125" customWidth="1"/>
    <col min="6" max="6" width="14" customWidth="1"/>
    <col min="10" max="10" width="9" customWidth="1"/>
    <col min="11" max="11" width="11.6640625" customWidth="1"/>
    <col min="20" max="20" width="12.33203125" customWidth="1"/>
    <col min="23" max="23" width="9.6640625" customWidth="1"/>
  </cols>
  <sheetData>
    <row r="1" spans="2:33" ht="44" customHeight="1" x14ac:dyDescent="0.2">
      <c r="M1" s="113" t="s">
        <v>42</v>
      </c>
      <c r="N1" s="113"/>
      <c r="O1" s="113"/>
      <c r="P1" s="113"/>
      <c r="Q1" s="113"/>
      <c r="R1" s="113"/>
      <c r="S1" s="113"/>
      <c r="T1" s="116"/>
      <c r="U1" s="117" t="s">
        <v>25</v>
      </c>
      <c r="V1" s="118"/>
      <c r="W1" s="119" t="s">
        <v>26</v>
      </c>
      <c r="X1" s="120"/>
      <c r="Y1" s="121" t="s">
        <v>29</v>
      </c>
      <c r="Z1" s="122"/>
    </row>
    <row r="2" spans="2:33" ht="120" x14ac:dyDescent="0.2">
      <c r="B2" s="1" t="s">
        <v>92</v>
      </c>
      <c r="C2" s="1" t="s">
        <v>70</v>
      </c>
      <c r="D2" s="1" t="s">
        <v>0</v>
      </c>
      <c r="E2" s="10" t="s">
        <v>5</v>
      </c>
      <c r="F2" s="1" t="s">
        <v>6</v>
      </c>
      <c r="G2" s="1" t="s">
        <v>7</v>
      </c>
      <c r="H2" s="1" t="s">
        <v>8</v>
      </c>
      <c r="I2" s="1" t="s">
        <v>20</v>
      </c>
      <c r="J2" s="1" t="s">
        <v>19</v>
      </c>
      <c r="K2" s="1" t="s">
        <v>17</v>
      </c>
      <c r="L2" s="10" t="s">
        <v>18</v>
      </c>
      <c r="M2" s="4" t="s">
        <v>9</v>
      </c>
      <c r="N2" s="15" t="s">
        <v>10</v>
      </c>
      <c r="O2" s="16" t="s">
        <v>93</v>
      </c>
      <c r="P2" s="16" t="s">
        <v>11</v>
      </c>
      <c r="Q2" s="16" t="s">
        <v>12</v>
      </c>
      <c r="R2" s="15" t="s">
        <v>13</v>
      </c>
      <c r="S2" s="15" t="s">
        <v>14</v>
      </c>
      <c r="T2" s="17" t="s">
        <v>15</v>
      </c>
      <c r="U2" s="22" t="s">
        <v>24</v>
      </c>
      <c r="V2" s="13" t="s">
        <v>23</v>
      </c>
      <c r="W2" s="24" t="s">
        <v>16</v>
      </c>
      <c r="X2" s="27" t="s">
        <v>27</v>
      </c>
      <c r="Y2" s="36" t="s">
        <v>28</v>
      </c>
      <c r="Z2" s="37" t="s">
        <v>21</v>
      </c>
    </row>
    <row r="3" spans="2:33" x14ac:dyDescent="0.2">
      <c r="B3" s="3" t="s">
        <v>44</v>
      </c>
      <c r="C3" s="3">
        <v>4050</v>
      </c>
      <c r="D3" s="97" t="s">
        <v>66</v>
      </c>
      <c r="E3" s="11">
        <v>3.9</v>
      </c>
      <c r="F3" s="3">
        <v>107</v>
      </c>
      <c r="G3" s="3">
        <v>49</v>
      </c>
      <c r="H3" s="3">
        <v>8</v>
      </c>
      <c r="I3" s="5">
        <f>F3*G3*H3/5000</f>
        <v>8.3887999999999998</v>
      </c>
      <c r="J3" s="6">
        <f>F3*G3*H3/1000</f>
        <v>41.944000000000003</v>
      </c>
      <c r="K3" s="3">
        <f>L3*E3</f>
        <v>117</v>
      </c>
      <c r="L3" s="11">
        <v>30</v>
      </c>
      <c r="M3" s="7">
        <v>247</v>
      </c>
      <c r="N3" s="8">
        <f>M3/L3</f>
        <v>8.2333333333333325</v>
      </c>
      <c r="O3" s="7">
        <v>32.700000000000003</v>
      </c>
      <c r="P3" s="7">
        <f>O3*30</f>
        <v>981.00000000000011</v>
      </c>
      <c r="Q3" s="7">
        <f>P3/L3</f>
        <v>32.700000000000003</v>
      </c>
      <c r="R3" s="9">
        <v>18.5</v>
      </c>
      <c r="S3" s="9">
        <v>9.6999999999999993</v>
      </c>
      <c r="T3" s="12">
        <v>14.6</v>
      </c>
      <c r="U3" s="20">
        <f>T3+S3+R3+N3</f>
        <v>51.033333333333331</v>
      </c>
      <c r="V3" s="14">
        <f>U3+Q3</f>
        <v>83.733333333333334</v>
      </c>
      <c r="W3" s="40">
        <f>(J3-1)*4.5+24</f>
        <v>208.24800000000002</v>
      </c>
      <c r="X3" s="41">
        <f>W3+T3+S3+R3+Q3+N3</f>
        <v>291.98133333333334</v>
      </c>
      <c r="Y3" s="112">
        <f>(I3-3)*21+466</f>
        <v>579.16480000000001</v>
      </c>
      <c r="Z3" s="38">
        <f>V3+Y3</f>
        <v>662.89813333333336</v>
      </c>
    </row>
    <row r="4" spans="2:33" x14ac:dyDescent="0.2">
      <c r="B4" s="61" t="s">
        <v>45</v>
      </c>
      <c r="C4" s="3">
        <v>4000</v>
      </c>
      <c r="D4" s="97" t="s">
        <v>46</v>
      </c>
      <c r="E4" s="11">
        <v>13</v>
      </c>
      <c r="F4" s="3">
        <v>55</v>
      </c>
      <c r="G4" s="3">
        <v>43</v>
      </c>
      <c r="H4" s="3">
        <v>15</v>
      </c>
      <c r="I4" s="5">
        <f t="shared" ref="I4:I5" si="0">F4*G4*H4/5000</f>
        <v>7.0949999999999998</v>
      </c>
      <c r="J4" s="6">
        <f t="shared" ref="J4:J5" si="1">F4*G4*H4/1000</f>
        <v>35.475000000000001</v>
      </c>
      <c r="K4" s="3">
        <v>520</v>
      </c>
      <c r="L4" s="11">
        <v>40</v>
      </c>
      <c r="M4" s="7">
        <v>247</v>
      </c>
      <c r="N4" s="8">
        <f>M4/L4</f>
        <v>6.1749999999999998</v>
      </c>
      <c r="O4" s="7">
        <v>39.799999999999997</v>
      </c>
      <c r="P4" s="7">
        <f t="shared" ref="P4:P5" si="2">O4*30</f>
        <v>1194</v>
      </c>
      <c r="Q4" s="7">
        <f>P4/L4</f>
        <v>29.85</v>
      </c>
      <c r="R4" s="9">
        <v>32.5</v>
      </c>
      <c r="S4" s="9">
        <v>9.6999999999999993</v>
      </c>
      <c r="T4" s="21">
        <v>27.5</v>
      </c>
      <c r="U4" s="14">
        <f>T4+S4+R4+N4</f>
        <v>75.875</v>
      </c>
      <c r="V4" s="14">
        <f>U4+Q4</f>
        <v>105.72499999999999</v>
      </c>
      <c r="W4" s="28">
        <f>(J4-1)*4.5+24</f>
        <v>179.13750000000002</v>
      </c>
      <c r="X4" s="41">
        <f>W4+T4+S4+R4+Q4+N4</f>
        <v>284.86250000000001</v>
      </c>
      <c r="Y4" s="112">
        <f>(E4-3)*21+466</f>
        <v>676</v>
      </c>
      <c r="Z4" s="38">
        <f t="shared" ref="Z4:Z5" si="3">V4+Y4</f>
        <v>781.72500000000002</v>
      </c>
    </row>
    <row r="5" spans="2:33" x14ac:dyDescent="0.2">
      <c r="B5" s="61" t="s">
        <v>47</v>
      </c>
      <c r="C5" s="3">
        <v>14500</v>
      </c>
      <c r="D5" s="97" t="s">
        <v>48</v>
      </c>
      <c r="E5" s="11">
        <v>21.1</v>
      </c>
      <c r="F5" s="3">
        <v>105</v>
      </c>
      <c r="G5" s="3">
        <v>105</v>
      </c>
      <c r="H5" s="3">
        <v>11</v>
      </c>
      <c r="I5" s="5">
        <f t="shared" si="0"/>
        <v>24.254999999999999</v>
      </c>
      <c r="J5" s="6">
        <f t="shared" si="1"/>
        <v>121.27500000000001</v>
      </c>
      <c r="K5" s="3">
        <f>L5*E5</f>
        <v>337.6</v>
      </c>
      <c r="L5" s="11">
        <v>16</v>
      </c>
      <c r="M5" s="7">
        <v>247</v>
      </c>
      <c r="N5" s="8">
        <f>M5/L5</f>
        <v>15.4375</v>
      </c>
      <c r="O5" s="7">
        <v>39.799999999999997</v>
      </c>
      <c r="P5" s="7">
        <f t="shared" si="2"/>
        <v>1194</v>
      </c>
      <c r="Q5" s="8">
        <f>P5/L5</f>
        <v>74.625</v>
      </c>
      <c r="R5" s="9">
        <v>32.5</v>
      </c>
      <c r="S5" s="9">
        <v>9.6999999999999993</v>
      </c>
      <c r="T5" s="21">
        <v>27.5</v>
      </c>
      <c r="U5" s="20">
        <f>T5+S5+R5+N5</f>
        <v>85.137500000000003</v>
      </c>
      <c r="V5" s="14">
        <f>U5+Q5</f>
        <v>159.76249999999999</v>
      </c>
      <c r="W5" s="28">
        <f>(J5-1)*4.5+24</f>
        <v>565.23750000000007</v>
      </c>
      <c r="X5" s="41">
        <f>W5+T5+S5+R5+Q5+N5</f>
        <v>725.00000000000011</v>
      </c>
      <c r="Y5" s="112">
        <f>(I5-3)*21+466</f>
        <v>912.35500000000002</v>
      </c>
      <c r="Z5" s="38">
        <f t="shared" si="3"/>
        <v>1072.1175000000001</v>
      </c>
    </row>
    <row r="6" spans="2:33" ht="16" thickBot="1" x14ac:dyDescent="0.25">
      <c r="N6" s="87"/>
      <c r="Q6" s="87"/>
      <c r="R6" s="87"/>
      <c r="S6" s="87"/>
      <c r="T6" s="88"/>
      <c r="U6" s="23"/>
      <c r="V6" s="25"/>
      <c r="X6" s="30"/>
      <c r="Y6" s="39"/>
    </row>
    <row r="7" spans="2:33" ht="16" thickTop="1" x14ac:dyDescent="0.2"/>
    <row r="8" spans="2:33" x14ac:dyDescent="0.2">
      <c r="J8" s="68"/>
      <c r="K8" s="69" t="s">
        <v>81</v>
      </c>
      <c r="L8" s="68"/>
      <c r="M8" s="68"/>
      <c r="N8" s="68"/>
      <c r="O8" s="68"/>
      <c r="P8" s="68"/>
      <c r="Q8" s="68"/>
      <c r="R8" s="31"/>
      <c r="S8" s="70" t="s">
        <v>79</v>
      </c>
      <c r="T8" s="31"/>
      <c r="U8" s="31"/>
      <c r="V8" s="31"/>
      <c r="W8" s="71"/>
      <c r="X8" s="73" t="s">
        <v>80</v>
      </c>
      <c r="Y8" s="71"/>
      <c r="Z8" s="102"/>
      <c r="AA8" s="102"/>
      <c r="AB8" s="102"/>
      <c r="AC8" s="102"/>
      <c r="AD8" s="102"/>
      <c r="AE8" s="102"/>
    </row>
    <row r="9" spans="2:33" x14ac:dyDescent="0.2">
      <c r="E9" s="89" t="s">
        <v>51</v>
      </c>
      <c r="G9" s="113" t="s">
        <v>94</v>
      </c>
      <c r="H9" s="113"/>
      <c r="I9" s="113"/>
      <c r="J9" s="68" t="s">
        <v>85</v>
      </c>
      <c r="K9" s="69"/>
      <c r="L9" s="68"/>
      <c r="M9" s="68"/>
      <c r="N9" s="68"/>
      <c r="O9" s="68"/>
      <c r="P9" s="68"/>
      <c r="Q9" s="68"/>
      <c r="R9" s="31" t="s">
        <v>86</v>
      </c>
      <c r="S9" s="31"/>
      <c r="T9" s="31"/>
      <c r="U9" s="31" t="s">
        <v>89</v>
      </c>
      <c r="V9" s="70"/>
      <c r="W9" s="71" t="s">
        <v>89</v>
      </c>
      <c r="X9" s="71"/>
      <c r="Y9" s="71"/>
      <c r="Z9" s="114" t="s">
        <v>103</v>
      </c>
      <c r="AA9" s="114"/>
      <c r="AB9" s="114"/>
      <c r="AC9" s="114"/>
      <c r="AD9" s="114"/>
      <c r="AE9" s="114"/>
    </row>
    <row r="10" spans="2:33" ht="72" customHeight="1" x14ac:dyDescent="0.2">
      <c r="E10" s="3"/>
      <c r="F10" s="4" t="s">
        <v>71</v>
      </c>
      <c r="G10" s="90" t="s">
        <v>81</v>
      </c>
      <c r="H10" s="90" t="s">
        <v>79</v>
      </c>
      <c r="I10" s="90" t="s">
        <v>80</v>
      </c>
      <c r="J10" s="62" t="s">
        <v>83</v>
      </c>
      <c r="K10" s="62" t="s">
        <v>53</v>
      </c>
      <c r="L10" s="62" t="s">
        <v>96</v>
      </c>
      <c r="M10" s="62" t="s">
        <v>63</v>
      </c>
      <c r="N10" s="62" t="s">
        <v>62</v>
      </c>
      <c r="O10" s="62" t="s">
        <v>97</v>
      </c>
      <c r="P10" s="62" t="s">
        <v>64</v>
      </c>
      <c r="Q10" s="62" t="s">
        <v>65</v>
      </c>
      <c r="R10" s="66" t="s">
        <v>82</v>
      </c>
      <c r="S10" s="66" t="s">
        <v>55</v>
      </c>
      <c r="T10" s="66" t="s">
        <v>69</v>
      </c>
      <c r="U10" s="66" t="s">
        <v>87</v>
      </c>
      <c r="V10" s="66" t="s">
        <v>88</v>
      </c>
      <c r="W10" s="72" t="s">
        <v>90</v>
      </c>
      <c r="X10" s="72" t="s">
        <v>87</v>
      </c>
      <c r="Y10" s="72" t="s">
        <v>91</v>
      </c>
      <c r="Z10" s="75" t="s">
        <v>99</v>
      </c>
      <c r="AA10" s="74"/>
      <c r="AB10" s="75" t="s">
        <v>100</v>
      </c>
      <c r="AC10" s="75"/>
      <c r="AD10" s="75" t="s">
        <v>101</v>
      </c>
      <c r="AE10" s="3"/>
      <c r="AG10" t="s">
        <v>102</v>
      </c>
    </row>
    <row r="11" spans="2:33" x14ac:dyDescent="0.2">
      <c r="E11" s="57" t="s">
        <v>66</v>
      </c>
      <c r="F11" s="3" t="s">
        <v>52</v>
      </c>
      <c r="G11" s="80">
        <v>0.14499999999999999</v>
      </c>
      <c r="H11" s="80">
        <v>0.18</v>
      </c>
      <c r="I11" s="80">
        <v>0.25</v>
      </c>
      <c r="J11" s="11">
        <f>G11*C3</f>
        <v>587.25</v>
      </c>
      <c r="K11" s="64">
        <v>2</v>
      </c>
      <c r="L11" s="82">
        <f>($G$14+($J$3-1)*$G$15)*$G$17*K11</f>
        <v>1486.1184000000001</v>
      </c>
      <c r="M11" s="11"/>
      <c r="N11" s="11"/>
      <c r="O11" s="82">
        <f>$G$16*K11</f>
        <v>50</v>
      </c>
      <c r="P11" s="82">
        <f>O11*30</f>
        <v>1500</v>
      </c>
      <c r="Q11" s="82">
        <f>P11/$L$3</f>
        <v>50</v>
      </c>
      <c r="R11" s="67">
        <f>H11*C3</f>
        <v>729</v>
      </c>
      <c r="S11" s="83">
        <v>1.65</v>
      </c>
      <c r="T11" s="84">
        <f>$H$14+(($J$3-1)*$H$15)*S11</f>
        <v>991.80639999999994</v>
      </c>
      <c r="U11" s="5">
        <f>V3</f>
        <v>83.733333333333334</v>
      </c>
      <c r="V11" s="5">
        <f>W3</f>
        <v>208.24800000000002</v>
      </c>
      <c r="W11" s="3">
        <f>I11*C3</f>
        <v>1012.5</v>
      </c>
      <c r="X11" s="5">
        <f>U11</f>
        <v>83.733333333333334</v>
      </c>
      <c r="Y11" s="5">
        <f>Y3</f>
        <v>579.16480000000001</v>
      </c>
      <c r="Z11" s="76">
        <f>J11+L11+Q11</f>
        <v>2123.3684000000003</v>
      </c>
      <c r="AA11" s="85">
        <v>1</v>
      </c>
      <c r="AB11" s="76">
        <f>R11+T11+U11+V11</f>
        <v>2012.7877333333333</v>
      </c>
      <c r="AC11" s="85">
        <f>AB11/Z11</f>
        <v>0.94792205315541711</v>
      </c>
      <c r="AD11" s="77">
        <f>W11+X11+Y11</f>
        <v>1675.3981333333334</v>
      </c>
      <c r="AE11" s="85">
        <f>AD11/Z11</f>
        <v>0.78902847632720408</v>
      </c>
    </row>
    <row r="12" spans="2:33" x14ac:dyDescent="0.2">
      <c r="E12" s="57" t="s">
        <v>68</v>
      </c>
      <c r="F12" s="3" t="s">
        <v>52</v>
      </c>
      <c r="G12" s="80">
        <v>0.14499999999999999</v>
      </c>
      <c r="H12" s="80">
        <v>0.18</v>
      </c>
      <c r="I12" s="80">
        <v>0.25</v>
      </c>
      <c r="J12" s="11">
        <f>G12*C4</f>
        <v>580</v>
      </c>
      <c r="K12" s="64">
        <v>2</v>
      </c>
      <c r="L12" s="82">
        <f>($G$14+($J$4-1)*$G$15)*$G$17*K12</f>
        <v>1268.7600000000002</v>
      </c>
      <c r="M12" s="11"/>
      <c r="N12" s="11"/>
      <c r="O12" s="82">
        <f>$G$16*K12</f>
        <v>50</v>
      </c>
      <c r="P12" s="82">
        <f>O12*30</f>
        <v>1500</v>
      </c>
      <c r="Q12" s="82">
        <f>P12/$L$4</f>
        <v>37.5</v>
      </c>
      <c r="R12" s="67">
        <f>H12*C4</f>
        <v>720</v>
      </c>
      <c r="S12" s="83">
        <v>1.65</v>
      </c>
      <c r="T12" s="84">
        <f>($H$14+(($J$4-1)*$H$15)*S12)</f>
        <v>842.37250000000006</v>
      </c>
      <c r="U12" s="5">
        <f t="shared" ref="U12:U13" si="4">V4</f>
        <v>105.72499999999999</v>
      </c>
      <c r="V12" s="5">
        <f t="shared" ref="V12:V13" si="5">W4</f>
        <v>179.13750000000002</v>
      </c>
      <c r="W12" s="3">
        <f t="shared" ref="W12:W13" si="6">I12*C4</f>
        <v>1000</v>
      </c>
      <c r="X12" s="5">
        <f t="shared" ref="X12:X13" si="7">U12</f>
        <v>105.72499999999999</v>
      </c>
      <c r="Y12" s="5">
        <f t="shared" ref="Y12:Y13" si="8">Y4</f>
        <v>676</v>
      </c>
      <c r="Z12" s="76">
        <f t="shared" ref="Z12:Z13" si="9">J12+L12+Q12</f>
        <v>1886.2600000000002</v>
      </c>
      <c r="AA12" s="85">
        <v>1</v>
      </c>
      <c r="AB12" s="76">
        <f t="shared" ref="AB12:AB13" si="10">R12+T12+U12+V12</f>
        <v>1847.2349999999999</v>
      </c>
      <c r="AC12" s="85">
        <f t="shared" ref="AC12:AC13" si="11">AB12/Z12</f>
        <v>0.97931091153923622</v>
      </c>
      <c r="AD12" s="77">
        <f t="shared" ref="AD12:AD13" si="12">W12+X12+Y12</f>
        <v>1781.7249999999999</v>
      </c>
      <c r="AE12" s="85">
        <f t="shared" ref="AE12:AE13" si="13">AD12/Z12</f>
        <v>0.94458081070478073</v>
      </c>
    </row>
    <row r="13" spans="2:33" x14ac:dyDescent="0.2">
      <c r="E13" s="57" t="s">
        <v>48</v>
      </c>
      <c r="F13" s="3" t="s">
        <v>52</v>
      </c>
      <c r="G13" s="80">
        <v>0.14499999999999999</v>
      </c>
      <c r="H13" s="80">
        <v>0.18</v>
      </c>
      <c r="I13" s="80">
        <v>0.25</v>
      </c>
      <c r="J13" s="11">
        <f>G13*C5</f>
        <v>2102.5</v>
      </c>
      <c r="K13" s="64">
        <v>2</v>
      </c>
      <c r="L13" s="82">
        <f>($G$14+(($J$5-1)*$G$15))*K13*G17</f>
        <v>4151.6400000000003</v>
      </c>
      <c r="M13" s="11"/>
      <c r="N13" s="11"/>
      <c r="O13" s="82">
        <f>$G$16*K13</f>
        <v>50</v>
      </c>
      <c r="P13" s="82">
        <f>O13*30</f>
        <v>1500</v>
      </c>
      <c r="Q13" s="82">
        <f>P13/$L$5</f>
        <v>93.75</v>
      </c>
      <c r="R13" s="67">
        <f>H13*C5</f>
        <v>2610</v>
      </c>
      <c r="S13" s="83">
        <v>1.65</v>
      </c>
      <c r="T13" s="84">
        <f>$H$14+(($J$5-1)*$H$15)*S13</f>
        <v>2824.3525</v>
      </c>
      <c r="U13" s="5">
        <f t="shared" si="4"/>
        <v>159.76249999999999</v>
      </c>
      <c r="V13" s="5">
        <f t="shared" si="5"/>
        <v>565.23750000000007</v>
      </c>
      <c r="W13" s="3">
        <f t="shared" si="6"/>
        <v>3625</v>
      </c>
      <c r="X13" s="5">
        <f t="shared" si="7"/>
        <v>159.76249999999999</v>
      </c>
      <c r="Y13" s="5">
        <f t="shared" si="8"/>
        <v>912.35500000000002</v>
      </c>
      <c r="Z13" s="76">
        <f t="shared" si="9"/>
        <v>6347.89</v>
      </c>
      <c r="AA13" s="85">
        <v>1</v>
      </c>
      <c r="AB13" s="76">
        <f t="shared" si="10"/>
        <v>6159.3525</v>
      </c>
      <c r="AC13" s="85">
        <f t="shared" si="11"/>
        <v>0.97029918602874332</v>
      </c>
      <c r="AD13" s="77">
        <f t="shared" si="12"/>
        <v>4697.1175000000003</v>
      </c>
      <c r="AE13" s="85">
        <f t="shared" si="13"/>
        <v>0.7399494162627267</v>
      </c>
    </row>
    <row r="14" spans="2:33" x14ac:dyDescent="0.2">
      <c r="E14" t="s">
        <v>95</v>
      </c>
      <c r="F14" t="s">
        <v>56</v>
      </c>
      <c r="G14" s="43">
        <v>46</v>
      </c>
      <c r="H14" s="43">
        <v>46</v>
      </c>
    </row>
    <row r="15" spans="2:33" x14ac:dyDescent="0.2">
      <c r="F15" t="s">
        <v>57</v>
      </c>
      <c r="G15" s="43">
        <v>14</v>
      </c>
      <c r="H15" s="43">
        <v>14</v>
      </c>
      <c r="S15" t="s">
        <v>98</v>
      </c>
    </row>
    <row r="16" spans="2:33" x14ac:dyDescent="0.2">
      <c r="E16" t="s">
        <v>59</v>
      </c>
      <c r="F16" t="s">
        <v>60</v>
      </c>
      <c r="G16" s="43">
        <v>25</v>
      </c>
    </row>
    <row r="17" spans="5:32" x14ac:dyDescent="0.2">
      <c r="E17" s="94" t="s">
        <v>107</v>
      </c>
      <c r="F17" s="94"/>
      <c r="G17" s="95">
        <v>1.2</v>
      </c>
    </row>
    <row r="18" spans="5:32" hidden="1" x14ac:dyDescent="0.2">
      <c r="G18" s="60"/>
      <c r="J18" s="68"/>
      <c r="K18" s="69" t="s">
        <v>81</v>
      </c>
      <c r="L18" s="68"/>
      <c r="M18" s="68"/>
      <c r="N18" s="68"/>
      <c r="O18" s="31"/>
      <c r="P18" s="70" t="s">
        <v>79</v>
      </c>
      <c r="Q18" s="31"/>
      <c r="R18" s="31"/>
      <c r="S18" s="31"/>
      <c r="T18" s="31"/>
      <c r="U18" s="71"/>
      <c r="V18" s="73" t="s">
        <v>80</v>
      </c>
      <c r="W18" s="71"/>
      <c r="X18" s="107"/>
      <c r="Y18" s="107"/>
      <c r="Z18" s="107"/>
      <c r="AA18" s="107"/>
      <c r="AB18" s="107"/>
      <c r="AC18" s="107"/>
    </row>
    <row r="19" spans="5:32" hidden="1" x14ac:dyDescent="0.2">
      <c r="E19" s="96" t="s">
        <v>84</v>
      </c>
      <c r="J19" s="68" t="s">
        <v>85</v>
      </c>
      <c r="K19" s="69"/>
      <c r="L19" s="68"/>
      <c r="M19" s="68"/>
      <c r="N19" s="68"/>
      <c r="O19" s="31" t="s">
        <v>86</v>
      </c>
      <c r="P19" s="70"/>
      <c r="Q19" s="31"/>
      <c r="R19" s="31"/>
      <c r="S19" s="31" t="s">
        <v>89</v>
      </c>
      <c r="T19" s="70"/>
      <c r="U19" s="71" t="s">
        <v>89</v>
      </c>
      <c r="V19" s="71"/>
      <c r="W19" s="71"/>
      <c r="X19" s="115" t="s">
        <v>131</v>
      </c>
      <c r="Y19" s="115"/>
      <c r="Z19" s="115"/>
      <c r="AA19" s="115"/>
      <c r="AB19" s="115"/>
      <c r="AC19" s="115"/>
    </row>
    <row r="20" spans="5:32" ht="72" hidden="1" customHeight="1" x14ac:dyDescent="0.2">
      <c r="E20" s="3"/>
      <c r="F20" s="3" t="s">
        <v>71</v>
      </c>
      <c r="G20" s="3" t="s">
        <v>81</v>
      </c>
      <c r="H20" s="3" t="s">
        <v>130</v>
      </c>
      <c r="I20" s="3" t="s">
        <v>80</v>
      </c>
      <c r="J20" s="62" t="s">
        <v>83</v>
      </c>
      <c r="K20" s="62" t="s">
        <v>74</v>
      </c>
      <c r="L20" s="62" t="s">
        <v>75</v>
      </c>
      <c r="M20" s="62" t="s">
        <v>78</v>
      </c>
      <c r="N20" s="62" t="s">
        <v>76</v>
      </c>
      <c r="O20" s="66" t="s">
        <v>82</v>
      </c>
      <c r="P20" s="66" t="s">
        <v>77</v>
      </c>
      <c r="Q20" s="66" t="s">
        <v>73</v>
      </c>
      <c r="R20" s="66" t="s">
        <v>76</v>
      </c>
      <c r="S20" s="66" t="s">
        <v>87</v>
      </c>
      <c r="T20" s="66" t="s">
        <v>88</v>
      </c>
      <c r="U20" s="72" t="s">
        <v>90</v>
      </c>
      <c r="V20" s="72" t="s">
        <v>87</v>
      </c>
      <c r="W20" s="72" t="s">
        <v>91</v>
      </c>
      <c r="X20" s="75" t="s">
        <v>81</v>
      </c>
      <c r="Y20" s="74"/>
      <c r="Z20" s="75" t="s">
        <v>79</v>
      </c>
      <c r="AA20" s="75"/>
      <c r="AB20" s="75" t="s">
        <v>80</v>
      </c>
      <c r="AC20" s="3"/>
      <c r="AD20" s="3"/>
      <c r="AE20" s="4"/>
      <c r="AF20" s="4"/>
    </row>
    <row r="21" spans="5:32" hidden="1" x14ac:dyDescent="0.2">
      <c r="E21" s="57" t="s">
        <v>66</v>
      </c>
      <c r="F21" s="3" t="s">
        <v>72</v>
      </c>
      <c r="G21" s="58">
        <v>0.46</v>
      </c>
      <c r="H21" s="58">
        <v>0.49</v>
      </c>
      <c r="I21" s="58">
        <v>0.52</v>
      </c>
      <c r="J21" s="11">
        <f>G21*C3</f>
        <v>1863</v>
      </c>
      <c r="K21" s="63">
        <v>422</v>
      </c>
      <c r="L21" s="81">
        <v>0.08</v>
      </c>
      <c r="M21" s="63">
        <f>K21+L21*C3</f>
        <v>746</v>
      </c>
      <c r="N21" s="63">
        <v>25</v>
      </c>
      <c r="O21" s="67">
        <f>H21*C3</f>
        <v>1984.5</v>
      </c>
      <c r="P21" s="67">
        <v>20</v>
      </c>
      <c r="Q21" s="67">
        <v>422</v>
      </c>
      <c r="R21" s="67">
        <v>25</v>
      </c>
      <c r="S21" s="101">
        <f t="shared" ref="S21:T23" si="14">V3</f>
        <v>83.733333333333334</v>
      </c>
      <c r="T21" s="101">
        <f t="shared" si="14"/>
        <v>208.24800000000002</v>
      </c>
      <c r="U21" s="3">
        <f>I21*C3</f>
        <v>2106</v>
      </c>
      <c r="V21" s="5">
        <f>S21</f>
        <v>83.733333333333334</v>
      </c>
      <c r="W21" s="5">
        <f>Y3</f>
        <v>579.16480000000001</v>
      </c>
      <c r="X21" s="76">
        <f>N21+M21+J21</f>
        <v>2634</v>
      </c>
      <c r="Y21" s="85">
        <v>1</v>
      </c>
      <c r="Z21" s="78">
        <f>O21+P21+Q21+R21</f>
        <v>2451.5</v>
      </c>
      <c r="AA21" s="85">
        <f>Z21/X21</f>
        <v>0.93071374335611234</v>
      </c>
      <c r="AB21" s="77">
        <f>U21+V21+W21</f>
        <v>2768.8981333333331</v>
      </c>
      <c r="AC21" s="85">
        <f>AB21/X21</f>
        <v>1.0512141736269298</v>
      </c>
      <c r="AD21" s="3"/>
      <c r="AE21" s="59"/>
      <c r="AF21" s="59"/>
    </row>
    <row r="22" spans="5:32" hidden="1" x14ac:dyDescent="0.2">
      <c r="E22" s="57" t="s">
        <v>68</v>
      </c>
      <c r="F22" s="3" t="s">
        <v>72</v>
      </c>
      <c r="G22" s="58">
        <v>0.44</v>
      </c>
      <c r="H22" s="58">
        <v>0.45</v>
      </c>
      <c r="I22" s="58">
        <v>0.48</v>
      </c>
      <c r="J22" s="11">
        <f>G22*C4</f>
        <v>1760</v>
      </c>
      <c r="K22" s="63">
        <v>373</v>
      </c>
      <c r="L22" s="81">
        <v>0.08</v>
      </c>
      <c r="M22" s="63">
        <f>K22+L22*C4</f>
        <v>693</v>
      </c>
      <c r="N22" s="63">
        <v>25</v>
      </c>
      <c r="O22" s="67">
        <f>H22*C4</f>
        <v>1800</v>
      </c>
      <c r="P22" s="67">
        <v>20</v>
      </c>
      <c r="Q22" s="67">
        <v>373</v>
      </c>
      <c r="R22" s="67">
        <v>25</v>
      </c>
      <c r="S22" s="101">
        <f t="shared" si="14"/>
        <v>105.72499999999999</v>
      </c>
      <c r="T22" s="101">
        <f t="shared" si="14"/>
        <v>179.13750000000002</v>
      </c>
      <c r="U22" s="3">
        <f>I22*C4</f>
        <v>1920</v>
      </c>
      <c r="V22" s="5">
        <f t="shared" ref="V22:V23" si="15">S22</f>
        <v>105.72499999999999</v>
      </c>
      <c r="W22" s="5">
        <f t="shared" ref="W22:W23" si="16">Y4</f>
        <v>676</v>
      </c>
      <c r="X22" s="76">
        <f>N22+M22+J22</f>
        <v>2478</v>
      </c>
      <c r="Y22" s="85">
        <v>1</v>
      </c>
      <c r="Z22" s="78">
        <f>O22+P22+Q22+R22</f>
        <v>2218</v>
      </c>
      <c r="AA22" s="85">
        <f t="shared" ref="AA22:AA23" si="17">Z22/X22</f>
        <v>0.8950766747376917</v>
      </c>
      <c r="AB22" s="77">
        <f>U22+V22+W22</f>
        <v>2701.7249999999999</v>
      </c>
      <c r="AC22" s="85">
        <f t="shared" ref="AC22:AC23" si="18">AB22/X22</f>
        <v>1.0902845036319613</v>
      </c>
      <c r="AD22" s="3"/>
      <c r="AE22" s="59"/>
      <c r="AF22" s="59"/>
    </row>
    <row r="23" spans="5:32" hidden="1" x14ac:dyDescent="0.2">
      <c r="E23" s="57" t="s">
        <v>48</v>
      </c>
      <c r="F23" s="3" t="s">
        <v>72</v>
      </c>
      <c r="G23" s="58">
        <v>0.42</v>
      </c>
      <c r="H23" s="58">
        <v>0.43</v>
      </c>
      <c r="I23" s="58">
        <v>0.46</v>
      </c>
      <c r="J23" s="11">
        <f>C5*G23</f>
        <v>6090</v>
      </c>
      <c r="K23" s="63">
        <v>941</v>
      </c>
      <c r="L23" s="81">
        <v>0.08</v>
      </c>
      <c r="M23" s="63">
        <f>K23+L23*C5</f>
        <v>2101</v>
      </c>
      <c r="N23" s="63">
        <v>25</v>
      </c>
      <c r="O23" s="67">
        <f>H23*C5</f>
        <v>6235</v>
      </c>
      <c r="P23" s="67">
        <v>20</v>
      </c>
      <c r="Q23" s="67">
        <v>941</v>
      </c>
      <c r="R23" s="67">
        <v>25</v>
      </c>
      <c r="S23" s="101">
        <f t="shared" si="14"/>
        <v>159.76249999999999</v>
      </c>
      <c r="T23" s="101">
        <f t="shared" si="14"/>
        <v>565.23750000000007</v>
      </c>
      <c r="U23" s="3">
        <f>I23*C5</f>
        <v>6670</v>
      </c>
      <c r="V23" s="5">
        <f t="shared" si="15"/>
        <v>159.76249999999999</v>
      </c>
      <c r="W23" s="5">
        <f t="shared" si="16"/>
        <v>912.35500000000002</v>
      </c>
      <c r="X23" s="76">
        <f>N23+M23+J23</f>
        <v>8216</v>
      </c>
      <c r="Y23" s="85">
        <v>1</v>
      </c>
      <c r="Z23" s="78">
        <f>O23+P23+Q23+R23</f>
        <v>7221</v>
      </c>
      <c r="AA23" s="85">
        <f t="shared" si="17"/>
        <v>0.87889483933787726</v>
      </c>
      <c r="AB23" s="79">
        <f>U23+V23+W23</f>
        <v>7742.1175000000003</v>
      </c>
      <c r="AC23" s="85">
        <f t="shared" si="18"/>
        <v>0.94232199367088609</v>
      </c>
      <c r="AD23" s="3"/>
      <c r="AE23" s="59"/>
      <c r="AF23" s="59"/>
    </row>
    <row r="24" spans="5:32" hidden="1" x14ac:dyDescent="0.2">
      <c r="H24" s="42" t="s">
        <v>129</v>
      </c>
      <c r="I24" s="42"/>
    </row>
    <row r="25" spans="5:32" hidden="1" x14ac:dyDescent="0.2">
      <c r="E25" s="65"/>
    </row>
    <row r="26" spans="5:32" x14ac:dyDescent="0.2">
      <c r="E26" s="65"/>
    </row>
    <row r="27" spans="5:32" x14ac:dyDescent="0.2">
      <c r="E27" s="65" t="s">
        <v>104</v>
      </c>
      <c r="G27" t="s">
        <v>105</v>
      </c>
    </row>
    <row r="28" spans="5:32" x14ac:dyDescent="0.2">
      <c r="G28" t="s">
        <v>128</v>
      </c>
    </row>
    <row r="29" spans="5:32" x14ac:dyDescent="0.2">
      <c r="J29" s="68"/>
      <c r="K29" s="69" t="s">
        <v>81</v>
      </c>
      <c r="L29" s="68"/>
      <c r="M29" s="68"/>
      <c r="N29" s="68"/>
      <c r="O29" s="68"/>
      <c r="P29" s="68"/>
      <c r="Q29" s="68"/>
      <c r="R29" s="31"/>
      <c r="S29" s="70" t="s">
        <v>79</v>
      </c>
      <c r="T29" s="31"/>
      <c r="U29" s="31"/>
      <c r="V29" s="31"/>
      <c r="W29" s="71"/>
      <c r="X29" s="73" t="s">
        <v>80</v>
      </c>
      <c r="Y29" s="71"/>
      <c r="Z29" s="103"/>
      <c r="AA29" s="103"/>
      <c r="AB29" s="103"/>
      <c r="AC29" s="103"/>
      <c r="AD29" s="103"/>
      <c r="AE29" s="103"/>
    </row>
    <row r="30" spans="5:32" x14ac:dyDescent="0.2">
      <c r="E30" s="89" t="s">
        <v>51</v>
      </c>
      <c r="G30" s="113" t="s">
        <v>94</v>
      </c>
      <c r="H30" s="113"/>
      <c r="I30" s="113"/>
      <c r="J30" s="68" t="s">
        <v>85</v>
      </c>
      <c r="K30" s="69"/>
      <c r="L30" s="68"/>
      <c r="M30" s="68"/>
      <c r="N30" s="68"/>
      <c r="O30" s="68"/>
      <c r="P30" s="68"/>
      <c r="Q30" s="68"/>
      <c r="R30" s="31" t="s">
        <v>86</v>
      </c>
      <c r="S30" s="31"/>
      <c r="T30" s="31"/>
      <c r="U30" s="31" t="s">
        <v>89</v>
      </c>
      <c r="V30" s="70"/>
      <c r="W30" s="71" t="s">
        <v>89</v>
      </c>
      <c r="X30" s="71"/>
      <c r="Y30" s="71"/>
      <c r="Z30" s="114" t="s">
        <v>103</v>
      </c>
      <c r="AA30" s="114"/>
      <c r="AB30" s="114"/>
      <c r="AC30" s="114"/>
      <c r="AD30" s="114"/>
      <c r="AE30" s="114"/>
    </row>
    <row r="31" spans="5:32" ht="75" x14ac:dyDescent="0.2">
      <c r="E31" s="3"/>
      <c r="F31" s="4" t="s">
        <v>71</v>
      </c>
      <c r="G31" s="90" t="s">
        <v>81</v>
      </c>
      <c r="H31" s="90" t="s">
        <v>79</v>
      </c>
      <c r="I31" s="90" t="s">
        <v>80</v>
      </c>
      <c r="J31" s="62" t="s">
        <v>83</v>
      </c>
      <c r="K31" s="62" t="s">
        <v>53</v>
      </c>
      <c r="L31" s="62" t="s">
        <v>96</v>
      </c>
      <c r="M31" s="62" t="s">
        <v>63</v>
      </c>
      <c r="N31" s="62" t="s">
        <v>62</v>
      </c>
      <c r="O31" s="62" t="s">
        <v>97</v>
      </c>
      <c r="P31" s="62" t="s">
        <v>64</v>
      </c>
      <c r="Q31" s="62" t="s">
        <v>65</v>
      </c>
      <c r="R31" s="66" t="s">
        <v>82</v>
      </c>
      <c r="S31" s="66" t="s">
        <v>55</v>
      </c>
      <c r="T31" s="66" t="s">
        <v>69</v>
      </c>
      <c r="U31" s="66" t="s">
        <v>87</v>
      </c>
      <c r="V31" s="66" t="s">
        <v>88</v>
      </c>
      <c r="W31" s="72" t="s">
        <v>90</v>
      </c>
      <c r="X31" s="72" t="s">
        <v>87</v>
      </c>
      <c r="Y31" s="72" t="s">
        <v>91</v>
      </c>
      <c r="Z31" s="75" t="s">
        <v>99</v>
      </c>
      <c r="AA31" s="74"/>
      <c r="AB31" s="75" t="s">
        <v>100</v>
      </c>
      <c r="AC31" s="75"/>
      <c r="AD31" s="75" t="s">
        <v>101</v>
      </c>
      <c r="AE31" s="3"/>
    </row>
    <row r="32" spans="5:32" x14ac:dyDescent="0.2">
      <c r="E32" s="57" t="s">
        <v>66</v>
      </c>
      <c r="F32" s="3" t="s">
        <v>52</v>
      </c>
      <c r="G32" s="80">
        <v>0.14499999999999999</v>
      </c>
      <c r="H32" s="80">
        <v>0.18</v>
      </c>
      <c r="I32" s="80">
        <v>0.25</v>
      </c>
      <c r="J32" s="11">
        <f>G32*C24</f>
        <v>0</v>
      </c>
      <c r="K32" s="64">
        <v>1.6</v>
      </c>
      <c r="L32" s="82">
        <f>($G$14+($J$3-1)*$G$15)*$G$17*K32</f>
        <v>1188.89472</v>
      </c>
      <c r="M32" s="11"/>
      <c r="N32" s="11"/>
      <c r="O32" s="82">
        <f>$G$16*K32</f>
        <v>40</v>
      </c>
      <c r="P32" s="82">
        <f>O32*30</f>
        <v>1200</v>
      </c>
      <c r="Q32" s="82">
        <f>P32/$L$3</f>
        <v>40</v>
      </c>
      <c r="R32" s="67">
        <f>H32*C24</f>
        <v>0</v>
      </c>
      <c r="S32" s="83">
        <v>1.65</v>
      </c>
      <c r="T32" s="84">
        <f>$H$14*$S$32+(($J$3-1)*$H$15)*S32</f>
        <v>1021.7063999999999</v>
      </c>
      <c r="U32" s="5">
        <v>83.733333333333334</v>
      </c>
      <c r="V32" s="5">
        <v>208.24800000000002</v>
      </c>
      <c r="W32" s="3">
        <v>1012.5</v>
      </c>
      <c r="X32" s="5">
        <v>83.733333333333334</v>
      </c>
      <c r="Y32" s="5">
        <v>579.16480000000001</v>
      </c>
      <c r="Z32" s="76">
        <f>J32+L32+Q32</f>
        <v>1228.89472</v>
      </c>
      <c r="AA32" s="85">
        <v>1</v>
      </c>
      <c r="AB32" s="76">
        <f>R32+T32+U32+V32</f>
        <v>1313.6877333333332</v>
      </c>
      <c r="AC32" s="85">
        <f>AB32/Z32</f>
        <v>1.0689994121980875</v>
      </c>
      <c r="AD32" s="77">
        <f>W32+X32+Y32</f>
        <v>1675.3981333333334</v>
      </c>
      <c r="AE32" s="85">
        <f>AD32/Z32</f>
        <v>1.3633374007281382</v>
      </c>
    </row>
    <row r="33" spans="5:31" x14ac:dyDescent="0.2">
      <c r="E33" s="57" t="s">
        <v>68</v>
      </c>
      <c r="F33" s="3" t="s">
        <v>52</v>
      </c>
      <c r="G33" s="80">
        <v>0.14499999999999999</v>
      </c>
      <c r="H33" s="80">
        <v>0.18</v>
      </c>
      <c r="I33" s="80">
        <v>0.25</v>
      </c>
      <c r="J33" s="11">
        <f>G33*C25</f>
        <v>0</v>
      </c>
      <c r="K33" s="64">
        <v>1.6</v>
      </c>
      <c r="L33" s="82">
        <f>($G$14+($J$4-1)*$G$15)*$G$17*K33</f>
        <v>1015.0080000000003</v>
      </c>
      <c r="M33" s="11"/>
      <c r="N33" s="11"/>
      <c r="O33" s="82">
        <f>$G$16*K33</f>
        <v>40</v>
      </c>
      <c r="P33" s="82">
        <f>O33*30</f>
        <v>1200</v>
      </c>
      <c r="Q33" s="82">
        <f>P33/$L$4</f>
        <v>30</v>
      </c>
      <c r="R33" s="67">
        <f>H33*C25</f>
        <v>0</v>
      </c>
      <c r="S33" s="83">
        <v>1.65</v>
      </c>
      <c r="T33" s="84">
        <f>($H$14+(($J$4-1)*$H$15)*S33)</f>
        <v>842.37250000000006</v>
      </c>
      <c r="U33" s="5">
        <v>105.72499999999999</v>
      </c>
      <c r="V33" s="5">
        <v>179.13750000000002</v>
      </c>
      <c r="W33" s="3">
        <v>1000</v>
      </c>
      <c r="X33" s="5">
        <v>105.72499999999999</v>
      </c>
      <c r="Y33" s="5">
        <v>676</v>
      </c>
      <c r="Z33" s="76">
        <f t="shared" ref="Z33:Z34" si="19">J33+L33+Q33</f>
        <v>1045.0080000000003</v>
      </c>
      <c r="AA33" s="85">
        <v>1</v>
      </c>
      <c r="AB33" s="76">
        <f t="shared" ref="AB33:AB34" si="20">R33+T33+U33+V33</f>
        <v>1127.2350000000001</v>
      </c>
      <c r="AC33" s="85">
        <f t="shared" ref="AC33:AC34" si="21">AB33/Z33</f>
        <v>1.0786855220247116</v>
      </c>
      <c r="AD33" s="77">
        <f t="shared" ref="AD33:AD34" si="22">W33+X33+Y33</f>
        <v>1781.7249999999999</v>
      </c>
      <c r="AE33" s="85">
        <f t="shared" ref="AE33:AE34" si="23">AD33/Z33</f>
        <v>1.7049869474683441</v>
      </c>
    </row>
    <row r="34" spans="5:31" x14ac:dyDescent="0.2">
      <c r="E34" s="57" t="s">
        <v>48</v>
      </c>
      <c r="F34" s="3" t="s">
        <v>52</v>
      </c>
      <c r="G34" s="80">
        <v>0.14499999999999999</v>
      </c>
      <c r="H34" s="80">
        <v>0.18</v>
      </c>
      <c r="I34" s="80">
        <v>0.25</v>
      </c>
      <c r="J34" s="11">
        <f>G34*C26</f>
        <v>0</v>
      </c>
      <c r="K34" s="64">
        <v>1.6</v>
      </c>
      <c r="L34" s="82">
        <f>($G$14+($J$5-1)*$G$15)*$G$17*K34</f>
        <v>3321.3120000000004</v>
      </c>
      <c r="M34" s="11"/>
      <c r="N34" s="11"/>
      <c r="O34" s="82">
        <f>$G$16*K34</f>
        <v>40</v>
      </c>
      <c r="P34" s="82">
        <f>O34*30</f>
        <v>1200</v>
      </c>
      <c r="Q34" s="82">
        <f>P34/$L$5</f>
        <v>75</v>
      </c>
      <c r="R34" s="67">
        <f>H34*C26</f>
        <v>0</v>
      </c>
      <c r="S34" s="83">
        <v>1.65</v>
      </c>
      <c r="T34" s="84">
        <f>($H$14+(($J$5-1)*$H$15)*S34)</f>
        <v>2824.3525</v>
      </c>
      <c r="U34" s="5">
        <v>159.76249999999999</v>
      </c>
      <c r="V34" s="5">
        <v>565.23750000000007</v>
      </c>
      <c r="W34" s="3">
        <v>3625</v>
      </c>
      <c r="X34" s="5">
        <v>159.76249999999999</v>
      </c>
      <c r="Y34" s="5">
        <v>912.35500000000002</v>
      </c>
      <c r="Z34" s="76">
        <f t="shared" si="19"/>
        <v>3396.3120000000004</v>
      </c>
      <c r="AA34" s="85">
        <v>1</v>
      </c>
      <c r="AB34" s="76">
        <f t="shared" si="20"/>
        <v>3549.3525</v>
      </c>
      <c r="AC34" s="85">
        <f t="shared" si="21"/>
        <v>1.0450607894681052</v>
      </c>
      <c r="AD34" s="77">
        <f t="shared" si="22"/>
        <v>4697.1175000000003</v>
      </c>
      <c r="AE34" s="85">
        <f t="shared" si="23"/>
        <v>1.3830053010441914</v>
      </c>
    </row>
    <row r="35" spans="5:31" x14ac:dyDescent="0.2">
      <c r="E35" t="s">
        <v>95</v>
      </c>
      <c r="F35" t="s">
        <v>56</v>
      </c>
      <c r="G35" s="43">
        <v>46</v>
      </c>
      <c r="H35" s="43">
        <v>46</v>
      </c>
    </row>
    <row r="36" spans="5:31" x14ac:dyDescent="0.2">
      <c r="F36" t="s">
        <v>57</v>
      </c>
      <c r="G36" s="43">
        <v>14</v>
      </c>
      <c r="H36" s="43">
        <v>14</v>
      </c>
    </row>
    <row r="37" spans="5:31" x14ac:dyDescent="0.2">
      <c r="E37" t="s">
        <v>59</v>
      </c>
      <c r="F37" t="s">
        <v>60</v>
      </c>
      <c r="G37" s="43">
        <v>25</v>
      </c>
    </row>
    <row r="38" spans="5:31" x14ac:dyDescent="0.2">
      <c r="E38" t="s">
        <v>107</v>
      </c>
      <c r="G38" s="86">
        <v>1.2</v>
      </c>
    </row>
    <row r="40" spans="5:31" x14ac:dyDescent="0.2">
      <c r="E40" s="65" t="s">
        <v>104</v>
      </c>
      <c r="G40" t="s">
        <v>105</v>
      </c>
    </row>
    <row r="41" spans="5:31" x14ac:dyDescent="0.2">
      <c r="G41" t="s">
        <v>127</v>
      </c>
    </row>
    <row r="42" spans="5:31" x14ac:dyDescent="0.2">
      <c r="J42" s="68"/>
      <c r="K42" s="69" t="s">
        <v>81</v>
      </c>
      <c r="L42" s="68"/>
      <c r="M42" s="68"/>
      <c r="N42" s="68"/>
      <c r="O42" s="68"/>
      <c r="P42" s="68"/>
      <c r="Q42" s="68"/>
      <c r="R42" s="31"/>
      <c r="S42" s="70" t="s">
        <v>79</v>
      </c>
      <c r="T42" s="31"/>
      <c r="U42" s="31"/>
      <c r="V42" s="31"/>
      <c r="W42" s="71"/>
      <c r="X42" s="73" t="s">
        <v>80</v>
      </c>
      <c r="Y42" s="71"/>
      <c r="Z42" s="104"/>
      <c r="AA42" s="104"/>
      <c r="AB42" s="104"/>
      <c r="AC42" s="104"/>
      <c r="AD42" s="104"/>
      <c r="AE42" s="104"/>
    </row>
    <row r="43" spans="5:31" x14ac:dyDescent="0.2">
      <c r="E43" s="89" t="s">
        <v>51</v>
      </c>
      <c r="G43" s="113" t="s">
        <v>94</v>
      </c>
      <c r="H43" s="113"/>
      <c r="I43" s="113"/>
      <c r="J43" s="68" t="s">
        <v>85</v>
      </c>
      <c r="K43" s="69"/>
      <c r="L43" s="68"/>
      <c r="M43" s="68"/>
      <c r="N43" s="68"/>
      <c r="O43" s="68"/>
      <c r="P43" s="68"/>
      <c r="Q43" s="68"/>
      <c r="R43" s="31" t="s">
        <v>86</v>
      </c>
      <c r="S43" s="31"/>
      <c r="T43" s="31"/>
      <c r="U43" s="31" t="s">
        <v>89</v>
      </c>
      <c r="V43" s="70"/>
      <c r="W43" s="71" t="s">
        <v>89</v>
      </c>
      <c r="X43" s="71"/>
      <c r="Y43" s="71"/>
      <c r="Z43" s="114" t="s">
        <v>103</v>
      </c>
      <c r="AA43" s="114"/>
      <c r="AB43" s="114"/>
      <c r="AC43" s="114"/>
      <c r="AD43" s="114"/>
      <c r="AE43" s="114"/>
    </row>
    <row r="44" spans="5:31" ht="75" x14ac:dyDescent="0.2">
      <c r="E44" s="3"/>
      <c r="F44" s="4" t="s">
        <v>71</v>
      </c>
      <c r="G44" s="90" t="s">
        <v>81</v>
      </c>
      <c r="H44" s="90" t="s">
        <v>79</v>
      </c>
      <c r="I44" s="90" t="s">
        <v>80</v>
      </c>
      <c r="J44" s="62" t="s">
        <v>83</v>
      </c>
      <c r="K44" s="62" t="s">
        <v>53</v>
      </c>
      <c r="L44" s="62" t="s">
        <v>96</v>
      </c>
      <c r="M44" s="62" t="s">
        <v>63</v>
      </c>
      <c r="N44" s="62" t="s">
        <v>62</v>
      </c>
      <c r="O44" s="62" t="s">
        <v>97</v>
      </c>
      <c r="P44" s="62" t="s">
        <v>64</v>
      </c>
      <c r="Q44" s="62" t="s">
        <v>65</v>
      </c>
      <c r="R44" s="66" t="s">
        <v>82</v>
      </c>
      <c r="S44" s="66" t="s">
        <v>55</v>
      </c>
      <c r="T44" s="66" t="s">
        <v>69</v>
      </c>
      <c r="U44" s="66" t="s">
        <v>87</v>
      </c>
      <c r="V44" s="66" t="s">
        <v>88</v>
      </c>
      <c r="W44" s="72" t="s">
        <v>90</v>
      </c>
      <c r="X44" s="72" t="s">
        <v>87</v>
      </c>
      <c r="Y44" s="72" t="s">
        <v>91</v>
      </c>
      <c r="Z44" s="75" t="s">
        <v>99</v>
      </c>
      <c r="AA44" s="74"/>
      <c r="AB44" s="75" t="s">
        <v>100</v>
      </c>
      <c r="AC44" s="75"/>
      <c r="AD44" s="75" t="s">
        <v>101</v>
      </c>
      <c r="AE44" s="3"/>
    </row>
    <row r="45" spans="5:31" x14ac:dyDescent="0.2">
      <c r="E45" s="57" t="s">
        <v>66</v>
      </c>
      <c r="F45" s="3" t="s">
        <v>52</v>
      </c>
      <c r="G45" s="80">
        <v>0.14499999999999999</v>
      </c>
      <c r="H45" s="80">
        <v>0.18</v>
      </c>
      <c r="I45" s="80">
        <v>0.25</v>
      </c>
      <c r="J45" s="11">
        <f>G45*C37</f>
        <v>0</v>
      </c>
      <c r="K45" s="64">
        <v>1.6</v>
      </c>
      <c r="L45" s="82">
        <f>($G$14+($J$3-1)*$G$15)*$G$54*K45</f>
        <v>1387.04384</v>
      </c>
      <c r="M45" s="11"/>
      <c r="N45" s="11"/>
      <c r="O45" s="82">
        <f>$G$16*K45</f>
        <v>40</v>
      </c>
      <c r="P45" s="82">
        <f>O45*30</f>
        <v>1200</v>
      </c>
      <c r="Q45" s="82">
        <f>P45/$L$3</f>
        <v>40</v>
      </c>
      <c r="R45" s="67">
        <f>H45*C37</f>
        <v>0</v>
      </c>
      <c r="S45" s="83">
        <v>1.65</v>
      </c>
      <c r="T45" s="84">
        <f>($H$14+(($J$3-1)*$H$15)*S45)</f>
        <v>991.80639999999994</v>
      </c>
      <c r="U45" s="5">
        <v>83.733333333333334</v>
      </c>
      <c r="V45" s="5">
        <v>208.24800000000002</v>
      </c>
      <c r="W45" s="3">
        <v>1012.5</v>
      </c>
      <c r="X45" s="5">
        <v>83.733333333333334</v>
      </c>
      <c r="Y45" s="5">
        <v>579.16480000000001</v>
      </c>
      <c r="Z45" s="76">
        <f>J45+L45+Q45</f>
        <v>1427.04384</v>
      </c>
      <c r="AA45" s="85">
        <v>1</v>
      </c>
      <c r="AB45" s="76">
        <f>R45+T45+U45+V45</f>
        <v>1283.7877333333333</v>
      </c>
      <c r="AC45" s="85">
        <f>AB45/Z45</f>
        <v>0.89961338071669428</v>
      </c>
      <c r="AD45" s="77">
        <f>W45+X45+Y45</f>
        <v>1675.3981333333334</v>
      </c>
      <c r="AE45" s="85">
        <f>AD45/Z45</f>
        <v>1.1740341020871043</v>
      </c>
    </row>
    <row r="46" spans="5:31" x14ac:dyDescent="0.2">
      <c r="E46" s="57" t="s">
        <v>68</v>
      </c>
      <c r="F46" s="3" t="s">
        <v>52</v>
      </c>
      <c r="G46" s="80">
        <v>0.14499999999999999</v>
      </c>
      <c r="H46" s="80">
        <v>0.18</v>
      </c>
      <c r="I46" s="80">
        <v>0.25</v>
      </c>
      <c r="J46" s="11">
        <f>G46*C38</f>
        <v>0</v>
      </c>
      <c r="K46" s="64">
        <v>1.6</v>
      </c>
      <c r="L46" s="82">
        <f>($G$14+($J$4-1)*$G$15)*$G$54*K46</f>
        <v>1184.1760000000002</v>
      </c>
      <c r="M46" s="11"/>
      <c r="N46" s="11"/>
      <c r="O46" s="82">
        <f>$G$16*K46</f>
        <v>40</v>
      </c>
      <c r="P46" s="82">
        <f>O46*30</f>
        <v>1200</v>
      </c>
      <c r="Q46" s="82">
        <f>P46/$L$4</f>
        <v>30</v>
      </c>
      <c r="R46" s="67">
        <f>H46*C38</f>
        <v>0</v>
      </c>
      <c r="S46" s="83">
        <v>1.65</v>
      </c>
      <c r="T46" s="84">
        <f>($H$14+(($J$4-1)*$H$15)*S46)</f>
        <v>842.37250000000006</v>
      </c>
      <c r="U46" s="5">
        <v>105.72499999999999</v>
      </c>
      <c r="V46" s="5">
        <v>179.13750000000002</v>
      </c>
      <c r="W46" s="3">
        <v>1000</v>
      </c>
      <c r="X46" s="5">
        <v>105.72499999999999</v>
      </c>
      <c r="Y46" s="5">
        <v>676</v>
      </c>
      <c r="Z46" s="76">
        <f t="shared" ref="Z46:Z47" si="24">J46+L46+Q46</f>
        <v>1214.1760000000002</v>
      </c>
      <c r="AA46" s="85">
        <v>1</v>
      </c>
      <c r="AB46" s="76">
        <f t="shared" ref="AB46:AB47" si="25">R46+T46+U46+V46</f>
        <v>1127.2350000000001</v>
      </c>
      <c r="AC46" s="85">
        <f t="shared" ref="AC46:AC47" si="26">AB46/Z46</f>
        <v>0.9283950596948054</v>
      </c>
      <c r="AD46" s="77">
        <f t="shared" ref="AD46:AD47" si="27">W46+X46+Y46</f>
        <v>1781.7249999999999</v>
      </c>
      <c r="AE46" s="85">
        <f t="shared" ref="AE46:AE47" si="28">AD46/Z46</f>
        <v>1.4674355282924383</v>
      </c>
    </row>
    <row r="47" spans="5:31" x14ac:dyDescent="0.2">
      <c r="E47" s="57" t="s">
        <v>48</v>
      </c>
      <c r="F47" s="3" t="s">
        <v>52</v>
      </c>
      <c r="G47" s="80">
        <v>0.14499999999999999</v>
      </c>
      <c r="H47" s="80">
        <v>0.18</v>
      </c>
      <c r="I47" s="80">
        <v>0.25</v>
      </c>
      <c r="J47" s="11">
        <f>G47*C39</f>
        <v>0</v>
      </c>
      <c r="K47" s="64">
        <v>1.6</v>
      </c>
      <c r="L47" s="82">
        <f>($G$14+($J$5-1)*$G$15)*G54*K47</f>
        <v>3874.864</v>
      </c>
      <c r="M47" s="11"/>
      <c r="N47" s="11"/>
      <c r="O47" s="82">
        <f>$G$16*K47</f>
        <v>40</v>
      </c>
      <c r="P47" s="82">
        <f>O47*30</f>
        <v>1200</v>
      </c>
      <c r="Q47" s="82">
        <f>P47/$L$5</f>
        <v>75</v>
      </c>
      <c r="R47" s="67">
        <f>H47*C39</f>
        <v>0</v>
      </c>
      <c r="S47" s="83">
        <v>1.65</v>
      </c>
      <c r="T47" s="91">
        <f>($H$14+(($J$5-1)*$H$15)*S47)</f>
        <v>2824.3525</v>
      </c>
      <c r="U47" s="92">
        <v>159.76249999999999</v>
      </c>
      <c r="V47" s="92">
        <v>565.23750000000007</v>
      </c>
      <c r="W47" s="93">
        <v>3625</v>
      </c>
      <c r="X47" s="5">
        <v>159.76249999999999</v>
      </c>
      <c r="Y47" s="5">
        <v>912.35500000000002</v>
      </c>
      <c r="Z47" s="76">
        <f t="shared" si="24"/>
        <v>3949.864</v>
      </c>
      <c r="AA47" s="85">
        <v>1</v>
      </c>
      <c r="AB47" s="76">
        <f t="shared" si="25"/>
        <v>3549.3525</v>
      </c>
      <c r="AC47" s="85">
        <f t="shared" si="26"/>
        <v>0.89860119234485036</v>
      </c>
      <c r="AD47" s="77">
        <f t="shared" si="27"/>
        <v>4697.1175000000003</v>
      </c>
      <c r="AE47" s="85">
        <f t="shared" si="28"/>
        <v>1.1891846149639582</v>
      </c>
    </row>
    <row r="48" spans="5:31" x14ac:dyDescent="0.2">
      <c r="T48" s="93"/>
      <c r="U48" s="105"/>
      <c r="V48" s="105"/>
      <c r="W48" s="93"/>
    </row>
    <row r="49" spans="5:22" x14ac:dyDescent="0.2">
      <c r="U49" s="106"/>
      <c r="V49" s="106"/>
    </row>
    <row r="50" spans="5:22" x14ac:dyDescent="0.2">
      <c r="U50" s="106"/>
      <c r="V50" s="106"/>
    </row>
    <row r="51" spans="5:22" x14ac:dyDescent="0.2">
      <c r="E51" t="s">
        <v>95</v>
      </c>
      <c r="F51" t="s">
        <v>56</v>
      </c>
      <c r="G51" s="43">
        <v>46</v>
      </c>
      <c r="H51" s="43">
        <v>46</v>
      </c>
      <c r="U51" s="106"/>
      <c r="V51" s="106"/>
    </row>
    <row r="52" spans="5:22" x14ac:dyDescent="0.2">
      <c r="F52" t="s">
        <v>57</v>
      </c>
      <c r="G52" s="43">
        <v>14</v>
      </c>
      <c r="H52" s="43">
        <v>14</v>
      </c>
      <c r="U52" s="106"/>
      <c r="V52" s="106"/>
    </row>
    <row r="53" spans="5:22" x14ac:dyDescent="0.2">
      <c r="E53" t="s">
        <v>59</v>
      </c>
      <c r="F53" t="s">
        <v>60</v>
      </c>
      <c r="G53" s="43">
        <v>25</v>
      </c>
      <c r="U53" s="106"/>
      <c r="V53" s="106"/>
    </row>
    <row r="54" spans="5:22" x14ac:dyDescent="0.2">
      <c r="E54" t="s">
        <v>107</v>
      </c>
      <c r="G54" s="86">
        <v>1.4</v>
      </c>
    </row>
    <row r="57" spans="5:22" x14ac:dyDescent="0.2">
      <c r="E57" s="100"/>
    </row>
    <row r="58" spans="5:22" x14ac:dyDescent="0.2">
      <c r="E58" s="100"/>
    </row>
    <row r="59" spans="5:22" x14ac:dyDescent="0.2">
      <c r="E59" s="100"/>
    </row>
  </sheetData>
  <mergeCells count="11">
    <mergeCell ref="M1:T1"/>
    <mergeCell ref="U1:V1"/>
    <mergeCell ref="W1:X1"/>
    <mergeCell ref="Y1:Z1"/>
    <mergeCell ref="G9:I9"/>
    <mergeCell ref="Z9:AE9"/>
    <mergeCell ref="G30:I30"/>
    <mergeCell ref="Z30:AE30"/>
    <mergeCell ref="G43:I43"/>
    <mergeCell ref="Z43:AE43"/>
    <mergeCell ref="X19:AC19"/>
  </mergeCells>
  <hyperlinks>
    <hyperlink ref="B4" r:id="rId1" xr:uid="{ECDD9F7E-EAE3-7940-986B-3E880CC98523}"/>
    <hyperlink ref="B5" r:id="rId2" xr:uid="{541CBF6D-1A03-E247-85E0-9CDB39CFBCCA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32AC-31E6-4378-8294-62697A0D487D}">
  <dimension ref="B4:C52"/>
  <sheetViews>
    <sheetView workbookViewId="0">
      <selection activeCell="D12" sqref="D12"/>
    </sheetView>
  </sheetViews>
  <sheetFormatPr baseColWidth="10" defaultColWidth="8.83203125" defaultRowHeight="15" x14ac:dyDescent="0.2"/>
  <cols>
    <col min="2" max="2" width="23.33203125" customWidth="1"/>
    <col min="3" max="3" width="19.83203125" customWidth="1"/>
  </cols>
  <sheetData>
    <row r="4" spans="2:3" ht="17" x14ac:dyDescent="0.25">
      <c r="B4" s="98" t="s">
        <v>106</v>
      </c>
      <c r="C4" s="98" t="s">
        <v>107</v>
      </c>
    </row>
    <row r="5" spans="2:3" ht="17" x14ac:dyDescent="0.2">
      <c r="B5" s="99" t="s">
        <v>108</v>
      </c>
      <c r="C5" s="99">
        <v>0.5</v>
      </c>
    </row>
    <row r="6" spans="2:3" ht="17" x14ac:dyDescent="0.2">
      <c r="B6" s="99" t="s">
        <v>109</v>
      </c>
      <c r="C6" s="99">
        <v>0.65</v>
      </c>
    </row>
    <row r="7" spans="2:3" ht="17" x14ac:dyDescent="0.2">
      <c r="B7" s="99" t="s">
        <v>110</v>
      </c>
      <c r="C7" s="99">
        <v>0.75</v>
      </c>
    </row>
    <row r="8" spans="2:3" ht="17" x14ac:dyDescent="0.2">
      <c r="B8" s="99" t="s">
        <v>111</v>
      </c>
      <c r="C8" s="99">
        <v>0.85</v>
      </c>
    </row>
    <row r="9" spans="2:3" ht="17" x14ac:dyDescent="0.2">
      <c r="B9" s="99" t="s">
        <v>112</v>
      </c>
      <c r="C9" s="99">
        <v>0.95</v>
      </c>
    </row>
    <row r="10" spans="2:3" ht="17" x14ac:dyDescent="0.2">
      <c r="B10" s="99" t="s">
        <v>113</v>
      </c>
      <c r="C10" s="99">
        <v>1</v>
      </c>
    </row>
    <row r="11" spans="2:3" ht="17" x14ac:dyDescent="0.2">
      <c r="B11" s="99" t="s">
        <v>114</v>
      </c>
      <c r="C11" s="99">
        <v>1</v>
      </c>
    </row>
    <row r="12" spans="2:3" ht="17" x14ac:dyDescent="0.2">
      <c r="B12" s="99" t="s">
        <v>115</v>
      </c>
      <c r="C12" s="99">
        <v>1</v>
      </c>
    </row>
    <row r="13" spans="2:3" ht="17" x14ac:dyDescent="0.2">
      <c r="B13" s="99" t="s">
        <v>116</v>
      </c>
      <c r="C13" s="99">
        <v>1.05</v>
      </c>
    </row>
    <row r="14" spans="2:3" ht="17" x14ac:dyDescent="0.2">
      <c r="B14" s="99" t="s">
        <v>117</v>
      </c>
      <c r="C14" s="99">
        <v>1.1499999999999999</v>
      </c>
    </row>
    <row r="15" spans="2:3" ht="17" x14ac:dyDescent="0.2">
      <c r="B15" s="99" t="s">
        <v>118</v>
      </c>
      <c r="C15" s="99">
        <v>1.25</v>
      </c>
    </row>
    <row r="16" spans="2:3" ht="17" x14ac:dyDescent="0.2">
      <c r="B16" s="99" t="s">
        <v>119</v>
      </c>
      <c r="C16" s="99">
        <v>1.35</v>
      </c>
    </row>
    <row r="17" spans="2:3" ht="17" x14ac:dyDescent="0.2">
      <c r="B17" s="99" t="s">
        <v>120</v>
      </c>
      <c r="C17" s="99">
        <v>1.45</v>
      </c>
    </row>
    <row r="18" spans="2:3" ht="17" x14ac:dyDescent="0.2">
      <c r="B18" s="99" t="s">
        <v>121</v>
      </c>
      <c r="C18" s="99">
        <v>1.55</v>
      </c>
    </row>
    <row r="19" spans="2:3" ht="17" x14ac:dyDescent="0.2">
      <c r="B19" s="99" t="s">
        <v>122</v>
      </c>
      <c r="C19" s="99">
        <v>1.65</v>
      </c>
    </row>
    <row r="20" spans="2:3" ht="17" x14ac:dyDescent="0.2">
      <c r="B20" s="99" t="s">
        <v>123</v>
      </c>
      <c r="C20" s="99">
        <v>1.75</v>
      </c>
    </row>
    <row r="21" spans="2:3" ht="17" x14ac:dyDescent="0.2">
      <c r="B21" s="99" t="s">
        <v>124</v>
      </c>
      <c r="C21" s="99">
        <v>1.85</v>
      </c>
    </row>
    <row r="22" spans="2:3" ht="17" x14ac:dyDescent="0.2">
      <c r="B22" s="99" t="s">
        <v>125</v>
      </c>
      <c r="C22" s="99">
        <v>1.9</v>
      </c>
    </row>
    <row r="23" spans="2:3" ht="17" x14ac:dyDescent="0.2">
      <c r="B23" s="99" t="s">
        <v>126</v>
      </c>
      <c r="C23" s="99">
        <v>2</v>
      </c>
    </row>
    <row r="29" spans="2:3" ht="30" x14ac:dyDescent="0.2">
      <c r="B29" s="109" t="s">
        <v>132</v>
      </c>
    </row>
    <row r="31" spans="2:3" ht="20" x14ac:dyDescent="0.2">
      <c r="B31" s="108" t="s">
        <v>133</v>
      </c>
    </row>
    <row r="32" spans="2:3" ht="60" x14ac:dyDescent="0.2">
      <c r="B32" s="108" t="s">
        <v>134</v>
      </c>
    </row>
    <row r="33" spans="2:2" ht="20" x14ac:dyDescent="0.2">
      <c r="B33" s="108" t="s">
        <v>135</v>
      </c>
    </row>
    <row r="34" spans="2:2" x14ac:dyDescent="0.2">
      <c r="B34" s="108" t="s">
        <v>136</v>
      </c>
    </row>
    <row r="35" spans="2:2" x14ac:dyDescent="0.2">
      <c r="B35" s="108" t="s">
        <v>137</v>
      </c>
    </row>
    <row r="37" spans="2:2" ht="42" x14ac:dyDescent="0.2">
      <c r="B37" s="110" t="s">
        <v>138</v>
      </c>
    </row>
    <row r="39" spans="2:2" ht="20" x14ac:dyDescent="0.2">
      <c r="B39" s="108" t="s">
        <v>139</v>
      </c>
    </row>
    <row r="40" spans="2:2" x14ac:dyDescent="0.2">
      <c r="B40" s="108" t="s">
        <v>140</v>
      </c>
    </row>
    <row r="41" spans="2:2" ht="20" x14ac:dyDescent="0.2">
      <c r="B41" s="108" t="s">
        <v>141</v>
      </c>
    </row>
    <row r="42" spans="2:2" x14ac:dyDescent="0.2">
      <c r="B42" s="108" t="s">
        <v>142</v>
      </c>
    </row>
    <row r="44" spans="2:2" x14ac:dyDescent="0.2">
      <c r="B44" s="109" t="s">
        <v>143</v>
      </c>
    </row>
    <row r="46" spans="2:2" ht="20" x14ac:dyDescent="0.2">
      <c r="B46" s="108" t="s">
        <v>144</v>
      </c>
    </row>
    <row r="47" spans="2:2" ht="60" x14ac:dyDescent="0.2">
      <c r="B47" s="108" t="s">
        <v>145</v>
      </c>
    </row>
    <row r="48" spans="2:2" ht="20" x14ac:dyDescent="0.2">
      <c r="B48" s="108" t="s">
        <v>146</v>
      </c>
    </row>
    <row r="49" spans="2:2" x14ac:dyDescent="0.2">
      <c r="B49" s="108" t="s">
        <v>147</v>
      </c>
    </row>
    <row r="50" spans="2:2" ht="20" x14ac:dyDescent="0.2">
      <c r="B50" s="108" t="s">
        <v>148</v>
      </c>
    </row>
    <row r="52" spans="2:2" ht="26" x14ac:dyDescent="0.2">
      <c r="B52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расчет PIM.Seller</vt:lpstr>
      <vt:lpstr>расчет PIM.Seller (2)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Константин Калинин</cp:lastModifiedBy>
  <dcterms:created xsi:type="dcterms:W3CDTF">2026-01-30T11:43:44Z</dcterms:created>
  <dcterms:modified xsi:type="dcterms:W3CDTF">2026-05-28T09:21:42Z</dcterms:modified>
</cp:coreProperties>
</file>